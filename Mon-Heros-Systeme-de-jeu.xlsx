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1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Parametres" sheetId="2" state="visible" r:id="rId4"/>
    <sheet name="Progression" sheetId="3" state="visible" r:id="rId5"/>
    <sheet name="XP Seance" sheetId="4" state="visible" r:id="rId6"/>
    <sheet name="Nutrition-Moral" sheetId="5" state="visible" r:id="rId7"/>
    <sheet name="Donjon" sheetId="6" state="visible" r:id="rId8"/>
    <sheet name="Sim Combat" sheetId="7" state="visible" r:id="rId9"/>
    <sheet name="Equipement" sheetId="8" state="visible" r:id="rId10"/>
    <sheet name="Fusion-Vente" sheetId="9" state="visible" r:id="rId11"/>
    <sheet name="Loot-Pity" sheetId="10" state="visible" r:id="rId12"/>
    <sheet name="Economie" sheetId="11" state="visible" r:id="rId13"/>
    <sheet name="Sim 52 semain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<sst xmlns="http://schemas.openxmlformats.org/spreadsheetml/2006/main" count="852" uniqueCount="690">
  <si>
    <t xml:space="preserve">MON HEROS — Systeme de jeu (maths) v1.0</t>
  </si>
  <si>
    <t xml:space="preserve">Classeur de game design pour l'app get-fit. Toute la balance du RPG dans un seul fichier.</t>
  </si>
  <si>
    <t xml:space="preserve">PRINCIPE DIRECTEUR</t>
  </si>
  <si>
    <t xml:space="preserve">1. L'entrainement est le moteur.</t>
  </si>
  <si>
    <t xml:space="preserve">On peut atteindre le niveau max sans jamais logger un repas.</t>
  </si>
  <si>
    <t xml:space="preserve">2. La nutrition est un accelerateur.</t>
  </si>
  <si>
    <t xml:space="preserve">Elle multiplie l'XP gagne et augmente la Chance. Elle ne debloque rien d'exclusif.</t>
  </si>
  <si>
    <t xml:space="preserve">3. La penalite est douce et reversible.</t>
  </si>
  <si>
    <t xml:space="preserve">Le Moral baisse, jamais le niveau. Aucune perte d'objet ni de progres acquis.</t>
  </si>
  <si>
    <t xml:space="preserve">4. Le donjon porte la boucle courte.</t>
  </si>
  <si>
    <t xml:space="preserve">Il tourne tout seul, donne du loot chaque jour, et se durcit a chaque cycle.</t>
  </si>
  <si>
    <t xml:space="preserve">5. Le rythme est cale sur la vraie vie.</t>
  </si>
  <si>
    <t xml:space="preserve">Tout est dimensionne pour 4 seances/semaine. Pas de farm possible sans entrainement reel.</t>
  </si>
  <si>
    <t xml:space="preserve">COMMENT LIRE CE CLASSEUR</t>
  </si>
  <si>
    <t xml:space="preserve">Cellules JAUNES avec texte BLEU</t>
  </si>
  <si>
    <t xml:space="preserve">-&gt; leviers a ajuster. Ce sont les seules cellules a modifier.</t>
  </si>
  <si>
    <t xml:space="preserve">Texte NOIR</t>
  </si>
  <si>
    <t xml:space="preserve">-&gt; formule calculee. Ne pas ecraser.</t>
  </si>
  <si>
    <t xml:space="preserve">Texte VERT</t>
  </si>
  <si>
    <t xml:space="preserve">-&gt; lien vers un autre onglet.</t>
  </si>
  <si>
    <t xml:space="preserve">ONGLETS</t>
  </si>
  <si>
    <t xml:space="preserve">Parametres</t>
  </si>
  <si>
    <t xml:space="preserve">Tous les leviers du jeu au meme endroit. Point de depart de chaque ajustement.</t>
  </si>
  <si>
    <t xml:space="preserve">Progression</t>
  </si>
  <si>
    <t xml:space="preserve">Courbe XP niveau 1 a 50, stats du personnage, gemmes, temps reel estime.</t>
  </si>
  <si>
    <t xml:space="preserve">XP Seance</t>
  </si>
  <si>
    <t xml:space="preserve">Comment une vraie seance se convertit en XP. Exemples chiffres.</t>
  </si>
  <si>
    <t xml:space="preserve">Nutrition-Moral</t>
  </si>
  <si>
    <t xml:space="preserve">Score nutritionnel quotidien, multiplicateur XP, systeme de Moral et penalites.</t>
  </si>
  <si>
    <t xml:space="preserve">Donjon</t>
  </si>
  <si>
    <t xml:space="preserve">PV/ATQ des ennemis par palier et par cycle, boss, or et essence largues.</t>
  </si>
  <si>
    <t xml:space="preserve">Sim Combat</t>
  </si>
  <si>
    <t xml:space="preserve">Resout un combat joueur vs palier. Sert a verifier qu'un niveau donne passe ou casse.</t>
  </si>
  <si>
    <t xml:space="preserve">Equipement</t>
  </si>
  <si>
    <t xml:space="preserve">6 emplacements, 5 raretes, puissance des objets, couts de forge.</t>
  </si>
  <si>
    <t xml:space="preserve">Loot-Pity</t>
  </si>
  <si>
    <t xml:space="preserve">Taux de drop, effet de la Chance, systeme anti-malchance (pity doux + dur).</t>
  </si>
  <si>
    <t xml:space="preserve">Economie</t>
  </si>
  <si>
    <t xml:space="preserve">Revenus et depenses des 3 monnaies : Or, Essence, Gemmes.</t>
  </si>
  <si>
    <t xml:space="preserve">Sim 52 semaines</t>
  </si>
  <si>
    <t xml:space="preserve">Projection an 1 : niveau, cycle de donjon, monnaies, semaine par semaine.</t>
  </si>
  <si>
    <t xml:space="preserve">SOURCES CONSULTEES POUR LA BALANCE</t>
  </si>
  <si>
    <t xml:space="preserve">Courbe XP polynomiale, exposant 1,5-2,2</t>
  </si>
  <si>
    <t xml:space="preserve">jaconir.online — RPG XP Curves Explained (exposant &gt;2,5 = mur infranchissable)</t>
  </si>
  <si>
    <t xml:space="preserve">Soft cap apres un niveau palier</t>
  </si>
  <si>
    <t xml:space="preserve">meme source — evite le mur de fin de partie</t>
  </si>
  <si>
    <t xml:space="preserve">Ennemi ~2x le joueur, boss ~5x PV</t>
  </si>
  <si>
    <t xml:space="preserve">forums.rpgmakerweb.com — Balancing enemy stats, gold, exp</t>
  </si>
  <si>
    <t xml:space="preserve">Plafonner le pire cas de malchance (pity)</t>
  </si>
  <si>
    <t xml:space="preserve">gamedeveloper.com — Emotions and Randomness: Loot Drops</t>
  </si>
  <si>
    <t xml:space="preserve">Pity dur type Granblue/Genshin</t>
  </si>
  <si>
    <t xml:space="preserve">arxiv.org 2208.03602 — Gacha Game: Prospect Theory Meets Optimal Pricing</t>
  </si>
  <si>
    <t xml:space="preserve">Reussite le jour 1 = +64% de retention</t>
  </si>
  <si>
    <t xml:space="preserve">guul.games / donnees plateforme Trophy — gamification fitness</t>
  </si>
  <si>
    <t xml:space="preserve">Streaks = mecanique de retention #1</t>
  </si>
  <si>
    <t xml:space="preserve">trophy.so — etude de cas Streaks</t>
  </si>
  <si>
    <t xml:space="preserve">Rendements decroissants sur stats tardives</t>
  </si>
  <si>
    <t xml:space="preserve">gamescrye.com — 5 Tips for Balancing an RPG Game</t>
  </si>
  <si>
    <t xml:space="preserve">AVERTISSEMENT</t>
  </si>
  <si>
    <t xml:space="preserve">Je suis un assistant IA, pas un professionnel de la sante.</t>
  </si>
  <si>
    <t xml:space="preserve">Consulte ton medecin de famille avant d'entreprendre un nouveau regime.</t>
  </si>
  <si>
    <t xml:space="preserve">RESULTAT DE LA BALANCE (rythme 4 seances/semaine)</t>
  </si>
  <si>
    <t xml:space="preserve">Niveau 5</t>
  </si>
  <si>
    <t xml:space="preserve">1 semaine — l'accroche : une victoire des la premiere semaine.</t>
  </si>
  <si>
    <t xml:space="preserve">Niveau 10</t>
  </si>
  <si>
    <t xml:space="preserve">1,7 mois — le donjon tourne, l'equipement commence a compter.</t>
  </si>
  <si>
    <t xml:space="preserve">Niveau 20</t>
  </si>
  <si>
    <t xml:space="preserve">10 mois — cycle 8 du donjon, epique bien forge.</t>
  </si>
  <si>
    <t xml:space="preserve">Niveau 25</t>
  </si>
  <si>
    <t xml:space="preserve">1 an et demi — soft cap, la courbe s'aplatit.</t>
  </si>
  <si>
    <t xml:space="preserve">Niveau 50</t>
  </si>
  <si>
    <t xml:space="preserve">horizon pluriannuel, volontairement. C'est une app de vie, pas une saison.</t>
  </si>
  <si>
    <t xml:space="preserve">Boss du donjon</t>
  </si>
  <si>
    <t xml:space="preserve">~10 a 15 tours a niveau approprie ; il porte a lui seul la moitie des degats subis.</t>
  </si>
  <si>
    <t xml:space="preserve">Run reussie type</t>
  </si>
  <si>
    <t xml:space="preserve">se termine avec 5 a 25% des PV. Serree par design.</t>
  </si>
  <si>
    <t xml:space="preserve">Legendaire garanti</t>
  </si>
  <si>
    <t xml:space="preserve">au 60e objet largue, soit ~3 semaines dans le pire des cas.</t>
  </si>
  <si>
    <t xml:space="preserve">Forge complete d'un objet</t>
  </si>
  <si>
    <t xml:space="preserve">~140 gemmes = environ un an d'entrainement reel. Un seul objet par an.</t>
  </si>
  <si>
    <t xml:space="preserve">Gain max de la nutrition</t>
  </si>
  <si>
    <t xml:space="preserve">+25% d'XP et +30 de Chance. Reel, jamais obligatoire.</t>
  </si>
  <si>
    <t xml:space="preserve">Penalite max du moral</t>
  </si>
  <si>
    <t xml:space="preserve">-15% d'XP. Efface en deux bonnes journees.</t>
  </si>
  <si>
    <t xml:space="preserve">CE QUI EST IMPOSSIBLE PAR DESIGN</t>
  </si>
  <si>
    <t xml:space="preserve">Farmer sa sortie d'un mur</t>
  </si>
  <si>
    <t xml:space="preserve">Le niveau plafonne tout. Le niveau n'existe que par l'entrainement reel.</t>
  </si>
  <si>
    <t xml:space="preserve">Acheter de la puissance</t>
  </si>
  <si>
    <t xml:space="preserve">Les gemmes ne viennent que des montees de niveau.</t>
  </si>
  <si>
    <t xml:space="preserve">Perdre du progres acquis</t>
  </si>
  <si>
    <t xml:space="preserve">Le moral baisse ; le niveau, les objets et les monnaies ne baissent jamais.</t>
  </si>
  <si>
    <t xml:space="preserve">Etre puni de ne pas logger sa nutrition</t>
  </si>
  <si>
    <t xml:space="preserve">Ne rien logger est strictement neutre.</t>
  </si>
  <si>
    <t xml:space="preserve">PARAMETRES — tous les leviers du jeu</t>
  </si>
  <si>
    <t xml:space="preserve">Modifie uniquement les cellules jaunes. Tout le reste du classeur s'ajuste automatiquement.</t>
  </si>
  <si>
    <t xml:space="preserve">XP &amp; COURBE DE NIVEAU</t>
  </si>
  <si>
    <t xml:space="preserve">XP de base par seance</t>
  </si>
  <si>
    <t xml:space="preserve">XP</t>
  </si>
  <si>
    <t xml:space="preserve">Recompense de presence : tu t'es rendu au gym.</t>
  </si>
  <si>
    <t xml:space="preserve">Diviseur de volume</t>
  </si>
  <si>
    <t xml:space="preserve">lb/XP</t>
  </si>
  <si>
    <t xml:space="preserve">Volume total (poids x reps x series) divise par ce chiffre.</t>
  </si>
  <si>
    <t xml:space="preserve">Bonus par record personnel (PR)</t>
  </si>
  <si>
    <t xml:space="preserve">Recompense le progres reel, pas juste la repetition.</t>
  </si>
  <si>
    <t xml:space="preserve">Coefficient courbe XP</t>
  </si>
  <si>
    <t xml:space="preserve">XP requis = coeff x niveau^exposant</t>
  </si>
  <si>
    <t xml:space="preserve">Exposant courbe XP</t>
  </si>
  <si>
    <t xml:space="preserve">1,5 = standard RPG. &gt;2,5 cree un mur (source: jaconir).</t>
  </si>
  <si>
    <t xml:space="preserve">Niveau du soft cap</t>
  </si>
  <si>
    <t xml:space="preserve">niv</t>
  </si>
  <si>
    <t xml:space="preserve">Au-dela, la courbe devient lineaire au lieu d'exploser.</t>
  </si>
  <si>
    <t xml:space="preserve">Increment lineaire apres soft cap</t>
  </si>
  <si>
    <t xml:space="preserve">Cout ajoute par niveau apres le soft cap. Bas volontairement : le niv. 50 doit rester atteignable.</t>
  </si>
  <si>
    <t xml:space="preserve">Niveau maximum</t>
  </si>
  <si>
    <t xml:space="preserve">Horizon long terme volontairement pluriannuel.</t>
  </si>
  <si>
    <t xml:space="preserve">STATS DU PERSONNAGE</t>
  </si>
  <si>
    <t xml:space="preserve">PV de base</t>
  </si>
  <si>
    <t xml:space="preserve">PV</t>
  </si>
  <si>
    <t xml:space="preserve">Niveau 1.</t>
  </si>
  <si>
    <t xml:space="preserve">PV par niveau</t>
  </si>
  <si>
    <t xml:space="preserve">Croissance lineaire = previsible. Calibre pour survivre a une run complete.</t>
  </si>
  <si>
    <t xml:space="preserve">ATQ de base</t>
  </si>
  <si>
    <t xml:space="preserve">ATQ</t>
  </si>
  <si>
    <t xml:space="preserve">ATQ par niveau</t>
  </si>
  <si>
    <t xml:space="preserve">Calibre pour tuer le boss en ~12 tours a niveau approprie.</t>
  </si>
  <si>
    <t xml:space="preserve">DEF de base</t>
  </si>
  <si>
    <t xml:space="preserve">DEF</t>
  </si>
  <si>
    <t xml:space="preserve">DEF par niveau</t>
  </si>
  <si>
    <t xml:space="preserve">Critique de base</t>
  </si>
  <si>
    <t xml:space="preserve">%</t>
  </si>
  <si>
    <t xml:space="preserve">5% au niveau 1.</t>
  </si>
  <si>
    <t xml:space="preserve">Gain de critique maximal</t>
  </si>
  <si>
    <t xml:space="preserve">Plafond du gain lie au niveau : +15 points max.</t>
  </si>
  <si>
    <t xml:space="preserve">Constante K du critique</t>
  </si>
  <si>
    <t xml:space="preserve">crit = base + max x niv/(niv+K). Rendements decroissants.</t>
  </si>
  <si>
    <t xml:space="preserve">Multiplicateur de coup critique</t>
  </si>
  <si>
    <t xml:space="preserve">x</t>
  </si>
  <si>
    <t xml:space="preserve">Constante d'armure</t>
  </si>
  <si>
    <t xml:space="preserve">reduction = DEF/(DEF+K). Jamais de degats negatifs, rendements decroissants.</t>
  </si>
  <si>
    <t xml:space="preserve">Regeneration entre paliers</t>
  </si>
  <si>
    <t xml:space="preserve">% PV max</t>
  </si>
  <si>
    <t xml:space="preserve">% des PV max recuperes apres chaque palier. Calibre pour que le BOSS soit le vrai combat.</t>
  </si>
  <si>
    <t xml:space="preserve">NUTRITION</t>
  </si>
  <si>
    <t xml:space="preserve">Bonus XP — calories dans la cible</t>
  </si>
  <si>
    <t xml:space="preserve">Cible +/- 10%. Independant des 2 autres.</t>
  </si>
  <si>
    <t xml:space="preserve">Bonus XP — proteines atteintes</t>
  </si>
  <si>
    <t xml:space="preserve">Au moins 90% de la cible. Le plus eleve : coherent avec un style riche en proteines.</t>
  </si>
  <si>
    <t xml:space="preserve">Bonus XP — eau atteinte</t>
  </si>
  <si>
    <t xml:space="preserve">Au moins 90% de la cible.</t>
  </si>
  <si>
    <t xml:space="preserve">Bonus XP par jour de serie (2+ cibles)</t>
  </si>
  <si>
    <t xml:space="preserve">Un jour compte pour la serie des que 2 des 3 cibles sont atteintes.</t>
  </si>
  <si>
    <t xml:space="preserve">Bonus XP de serie — maximum</t>
  </si>
  <si>
    <t xml:space="preserve">Plafond a 15 jours de serie consecutifs (2+ cibles/jour).</t>
  </si>
  <si>
    <t xml:space="preserve">Chance par jour de serie nutri</t>
  </si>
  <si>
    <t xml:space="preserve">pts</t>
  </si>
  <si>
    <t xml:space="preserve">Meme compteur de serie que le bonus XP.</t>
  </si>
  <si>
    <t xml:space="preserve">Chance maximale (nutrition)</t>
  </si>
  <si>
    <t xml:space="preserve">Plafond a 15 jours (meme fenetre que le bonus XP).</t>
  </si>
  <si>
    <t xml:space="preserve">Bonus XP par jour de serie</t>
  </si>
  <si>
    <t xml:space="preserve">S'accumule tant que les jours 'reussis' s'enchainent.</t>
  </si>
  <si>
    <t xml:space="preserve">MORAL &amp; PENALITES</t>
  </si>
  <si>
    <t xml:space="preserve">Plafond a 15 jours de serie.</t>
  </si>
  <si>
    <t xml:space="preserve">Moral maximum</t>
  </si>
  <si>
    <t xml:space="preserve">Depart a 100.</t>
  </si>
  <si>
    <t xml:space="preserve">Moral — seance loggee</t>
  </si>
  <si>
    <t xml:space="preserve">Moral — seance prevue manquee</t>
  </si>
  <si>
    <t xml:space="preserve">Seule source de penalite du jeu. La nutrition n'affecte jamais le moral.</t>
  </si>
  <si>
    <t xml:space="preserve">Multiplicateur XP a moral 0</t>
  </si>
  <si>
    <t xml:space="preserve">Plancher : -15% max. Jamais de spirale.</t>
  </si>
  <si>
    <t xml:space="preserve">Seuil de moral plein</t>
  </si>
  <si>
    <t xml:space="preserve">Au-dessus, aucun malus. Deux bonnes seances suffisent a y remonter.</t>
  </si>
  <si>
    <t xml:space="preserve">Seule source de penalite. La nutrition n'affecte plus le moral.</t>
  </si>
  <si>
    <t xml:space="preserve">REGULARITE (STREAK D'ENTRAINEMENT)</t>
  </si>
  <si>
    <t xml:space="preserve">Au-dessus, aucun malus.</t>
  </si>
  <si>
    <t xml:space="preserve">Objectif de seances par semaine</t>
  </si>
  <si>
    <t xml:space="preserve">seances</t>
  </si>
  <si>
    <t xml:space="preserve">Base de tous les calculs de rythme.</t>
  </si>
  <si>
    <t xml:space="preserve">Bonus XP par semaine de streak</t>
  </si>
  <si>
    <t xml:space="preserve">Cumulatif.</t>
  </si>
  <si>
    <t xml:space="preserve">Bonus de streak maximal</t>
  </si>
  <si>
    <t xml:space="preserve">Plafond a 10 semaines consecutives.</t>
  </si>
  <si>
    <t xml:space="preserve">DONJON</t>
  </si>
  <si>
    <t xml:space="preserve">Paliers par cycle</t>
  </si>
  <si>
    <t xml:space="preserve">paliers</t>
  </si>
  <si>
    <t xml:space="preserve">Le 10e est le boss.</t>
  </si>
  <si>
    <t xml:space="preserve">PV ennemi — base</t>
  </si>
  <si>
    <t xml:space="preserve">Calibre : donjon ouvert des le niveau 6, boss abattu en ~10 tours a niveau approprie.</t>
  </si>
  <si>
    <t xml:space="preserve">PV ennemi — exposant palier</t>
  </si>
  <si>
    <t xml:space="preserve">Exposant bas : les 10 paliers sont UNE run, pas 10 zones. C'est le CYCLE qui durcit.</t>
  </si>
  <si>
    <t xml:space="preserve">ATQ ennemi — base</t>
  </si>
  <si>
    <t xml:space="preserve">ATQ ennemi — exposant palier</t>
  </si>
  <si>
    <t xml:space="preserve">DEF ennemi — base</t>
  </si>
  <si>
    <t xml:space="preserve">DEF ennemi — exposant palier</t>
  </si>
  <si>
    <t xml:space="preserve">Croissance par cycle</t>
  </si>
  <si>
    <t xml:space="preserve">20% par cycle. C'est CE levier qui cree le mur et pousse a s'entrainer.</t>
  </si>
  <si>
    <t xml:space="preserve">Multiplicateur PV du boss</t>
  </si>
  <si>
    <t xml:space="preserve">Le boss porte a lui seul ~50% des degats subis d'une run.</t>
  </si>
  <si>
    <t xml:space="preserve">Multiplicateur ATQ du boss</t>
  </si>
  <si>
    <t xml:space="preserve">ECONOMIE — 3 MONNAIES</t>
  </si>
  <si>
    <t xml:space="preserve">Or par palier nettoye</t>
  </si>
  <si>
    <t xml:space="preserve">or</t>
  </si>
  <si>
    <t xml:space="preserve">x palier. Monnaie commune, achete des coffres.</t>
  </si>
  <si>
    <t xml:space="preserve">Bonus d'or par cycle</t>
  </si>
  <si>
    <t xml:space="preserve">Essence par palier nettoye</t>
  </si>
  <si>
    <t xml:space="preserve">ess</t>
  </si>
  <si>
    <t xml:space="preserve">Farmable. Achete de petites ameliorations de stats.</t>
  </si>
  <si>
    <t xml:space="preserve">Essence bonus du boss</t>
  </si>
  <si>
    <t xml:space="preserve">Cout d'un coffre (or)</t>
  </si>
  <si>
    <t xml:space="preserve">~1 coffre/semaine. Il complete les drops, il ne les remplace pas.</t>
  </si>
  <si>
    <t xml:space="preserve">Cout amelioration stat (essence)</t>
  </si>
  <si>
    <t xml:space="preserve">Cout de base d'une amelioration de stat en essence.</t>
  </si>
  <si>
    <t xml:space="preserve">Facteur de cout essence</t>
  </si>
  <si>
    <t xml:space="preserve">Cout x1,35 cumulatif : la 5e amelioration est rapide, la 20e est un objectif d'annee.</t>
  </si>
  <si>
    <t xml:space="preserve">Gemmes de base par niveau</t>
  </si>
  <si>
    <t xml:space="preserve">gem</t>
  </si>
  <si>
    <t xml:space="preserve">SEULE source de gemmes = monter de niveau = vrai entrainement.</t>
  </si>
  <si>
    <t xml:space="preserve">Gemmes bonus par 5 niveaux</t>
  </si>
  <si>
    <t xml:space="preserve">LOOT</t>
  </si>
  <si>
    <t xml:space="preserve">Chance de drop par palier</t>
  </si>
  <si>
    <t xml:space="preserve">Un objet tous les 10 paliers environ. Rare par design : l'inventaire doit avoir du poids.</t>
  </si>
  <si>
    <t xml:space="preserve">Poids — Commun</t>
  </si>
  <si>
    <t xml:space="preserve">La matiere premiere de la fusion.</t>
  </si>
  <si>
    <t xml:space="preserve">Poids — Rare</t>
  </si>
  <si>
    <t xml:space="preserve">Poids — Ultra-rare</t>
  </si>
  <si>
    <t xml:space="preserve">Poids — Mythique</t>
  </si>
  <si>
    <t xml:space="preserve">Un drop direct est un evenement.</t>
  </si>
  <si>
    <t xml:space="preserve">Poids — Legendaire</t>
  </si>
  <si>
    <t xml:space="preserve">Drop direct quasi impossible : la fusion est le vrai chemin.</t>
  </si>
  <si>
    <t xml:space="preserve">Effet de la Chance</t>
  </si>
  <si>
    <t xml:space="preserve">Chaque point de Chance ajoute 1% relatif aux raretes hautes.</t>
  </si>
  <si>
    <t xml:space="preserve">Debut du pity doux</t>
  </si>
  <si>
    <t xml:space="preserve">drops</t>
  </si>
  <si>
    <t xml:space="preserve">Sans legendaire, les odds montent a partir d'ici.</t>
  </si>
  <si>
    <t xml:space="preserve">Increment du pity doux</t>
  </si>
  <si>
    <t xml:space="preserve">Par drop supplementaire.</t>
  </si>
  <si>
    <t xml:space="preserve">Pity dur (garantie legendaire)</t>
  </si>
  <si>
    <t xml:space="preserve">Pire cas plafonne. Source: gamedeveloper.com.</t>
  </si>
  <si>
    <t xml:space="preserve">EQUIPEMENT</t>
  </si>
  <si>
    <t xml:space="preserve">Puissance de base d'un objet</t>
  </si>
  <si>
    <t xml:space="preserve">Puissance par palier de donjon</t>
  </si>
  <si>
    <t xml:space="preserve">Le palier ou l'objet tombe determine sa puissance brute.</t>
  </si>
  <si>
    <t xml:space="preserve">Mult. rarete — Commun</t>
  </si>
  <si>
    <t xml:space="preserve">Mult. rarete — Rare</t>
  </si>
  <si>
    <t xml:space="preserve">Mult. rarete — Ultra-rare</t>
  </si>
  <si>
    <t xml:space="preserve">Mult. rarete — Mythique</t>
  </si>
  <si>
    <t xml:space="preserve">Progression ~x1,6 par palier de rarete.</t>
  </si>
  <si>
    <t xml:space="preserve">Mult. rarete — Legendaire</t>
  </si>
  <si>
    <t xml:space="preserve">Gain par niveau de forge</t>
  </si>
  <si>
    <t xml:space="preserve">Niveau de forge maximal</t>
  </si>
  <si>
    <t xml:space="preserve">Cout de forge de base</t>
  </si>
  <si>
    <t xml:space="preserve">Facteur de cout de forge</t>
  </si>
  <si>
    <t xml:space="preserve">Forge complete d'UN objet ~= 140 gemmes ~= un an d'entrainement. C'est le sommet de prestige.</t>
  </si>
  <si>
    <t xml:space="preserve">SEANCE DE REFERENCE (sert aux estimations de temps reel)</t>
  </si>
  <si>
    <t xml:space="preserve">Volume de reference par seance</t>
  </si>
  <si>
    <t xml:space="preserve">lb</t>
  </si>
  <si>
    <t xml:space="preserve">Ex.: 8 exercices x 4 series x 8 reps x ~78 lb moyen.</t>
  </si>
  <si>
    <t xml:space="preserve">PR moyens par seance</t>
  </si>
  <si>
    <t xml:space="preserve">PR</t>
  </si>
  <si>
    <t xml:space="preserve">Un record personnel une seance sur deux au debut.</t>
  </si>
  <si>
    <t xml:space="preserve">Mult. nutrition moyen suppose</t>
  </si>
  <si>
    <t xml:space="preserve">Hypothese realiste : nutrition suivie ~2 jours sur 5.</t>
  </si>
  <si>
    <t xml:space="preserve">Mult. moral moyen suppose</t>
  </si>
  <si>
    <t xml:space="preserve">Quelques seances manquees par mois.</t>
  </si>
  <si>
    <t xml:space="preserve">Mult. streak moyen suppose</t>
  </si>
  <si>
    <t xml:space="preserve">Regularite correcte mais pas parfaite.</t>
  </si>
  <si>
    <t xml:space="preserve">XP moyen par seance (calcule)</t>
  </si>
  <si>
    <t xml:space="preserve">Base de toutes les estimations de duree du classeur.</t>
  </si>
  <si>
    <t xml:space="preserve">FUSION &amp; VENTE D'EQUIPEMENT</t>
  </si>
  <si>
    <t xml:space="preserve">Objets requis par fusion</t>
  </si>
  <si>
    <t xml:space="preserve">objets</t>
  </si>
  <si>
    <t xml:space="preserve">3 objets identiques en rarete ET en emplacement = 1 objet de la rarete au-dessus.</t>
  </si>
  <si>
    <t xml:space="preserve">Emplacements du personnage</t>
  </si>
  <si>
    <t xml:space="preserve">slots</t>
  </si>
  <si>
    <t xml:space="preserve">La fusion exige le meme emplacement : impossible de tout canaliser vers une seule piece.</t>
  </si>
  <si>
    <t xml:space="preserve">Chance de fusion superieure</t>
  </si>
  <si>
    <t xml:space="preserve">par pt de Chance</t>
  </si>
  <si>
    <t xml:space="preserve">A 30 pts de Chance : 15% de sauter DEUX raretes. C'est ici que la nutrition paie le plus.</t>
  </si>
  <si>
    <t xml:space="preserve">Coefficient de prix de vente</t>
  </si>
  <si>
    <t xml:space="preserve">or/puissance</t>
  </si>
  <si>
    <t xml:space="preserve">Prix de vente = puissance de l'objet x ce coefficient.</t>
  </si>
  <si>
    <t xml:space="preserve">Paliers nettoyes par semaine</t>
  </si>
  <si>
    <t xml:space="preserve">8 paliers/jour. Base des calculs de rythme de loot.</t>
  </si>
  <si>
    <t xml:space="preserve">Cout de fusion de base (or)</t>
  </si>
  <si>
    <t xml:space="preserve">Fusionner 3 communs coute 200 or. C'est le vrai usage de l'or.</t>
  </si>
  <si>
    <t xml:space="preserve">Facteur de cout de fusion</t>
  </si>
  <si>
    <t xml:space="preserve">x3 par palier de rarete — chaque etage coute le meme total. Un legendaire complet ~21 600 or.</t>
  </si>
  <si>
    <t xml:space="preserve">PROGRESSION — courbe XP, stats et temps reel estime</t>
  </si>
  <si>
    <t xml:space="preserve">XP requis = coefficient x niveau^exposant, puis lineaire apres le soft cap (evite le mur de fin de partie). Stats PV/ATQ/DEF lineaires = previsibles ; critique a rendements decroissants.</t>
  </si>
  <si>
    <t xml:space="preserve">Niveau</t>
  </si>
  <si>
    <t xml:space="preserve">XP requis
(du niv. precedent)</t>
  </si>
  <si>
    <t xml:space="preserve">XP cumulatif</t>
  </si>
  <si>
    <t xml:space="preserve">Critique</t>
  </si>
  <si>
    <t xml:space="preserve">Gemmes
gagnees</t>
  </si>
  <si>
    <t xml:space="preserve">Gemmes
cumulees</t>
  </si>
  <si>
    <t xml:space="preserve">Seances
cumulees</t>
  </si>
  <si>
    <t xml:space="preserve">Semaines
estimees</t>
  </si>
  <si>
    <t xml:space="preserve">Mois
estimes</t>
  </si>
  <si>
    <t xml:space="preserve">Jalon</t>
  </si>
  <si>
    <t xml:space="preserve">Depart</t>
  </si>
  <si>
    <t xml:space="preserve">Premier equipement</t>
  </si>
  <si>
    <t xml:space="preserve">Donjon debloque</t>
  </si>
  <si>
    <t xml:space="preserve">Cycle 2 accessible</t>
  </si>
  <si>
    <t xml:space="preserve">Coffres legendaires viables</t>
  </si>
  <si>
    <t xml:space="preserve">Soft cap — la courbe s'aplatit</t>
  </si>
  <si>
    <t xml:space="preserve">Vetéran</t>
  </si>
  <si>
    <t xml:space="preserve">XP SEANCE — comment une vraie seance devient de l'XP</t>
  </si>
  <si>
    <t xml:space="preserve">XP brut = XP de base + (volume total / diviseur) + (nb de PR x bonus PR). Puis : XP final = XP brut x mult. nutrition x mult. moral x mult. streak.</t>
  </si>
  <si>
    <t xml:space="preserve">POURQUOI CE DECOUPAGE</t>
  </si>
  <si>
    <t xml:space="preserve">XP de base</t>
  </si>
  <si>
    <t xml:space="preserve">Recompense le fait de se presenter. Empeche qu'une petite seance ne donne rien.</t>
  </si>
  <si>
    <t xml:space="preserve">Composante volume</t>
  </si>
  <si>
    <t xml:space="preserve">Recompense le travail reel effectue. Impossible a farmer sans lever des charges.</t>
  </si>
  <si>
    <t xml:space="preserve">Bonus PR</t>
  </si>
  <si>
    <t xml:space="preserve">Recompense le progres, pas la repetition. C'est le lien direct avec la vraie vie.</t>
  </si>
  <si>
    <t xml:space="preserve">Multiplicateurs</t>
  </si>
  <si>
    <t xml:space="preserve">Nutrition, moral et regularite ne creent jamais d'XP a eux seuls — ils amplifient une seance reelle.</t>
  </si>
  <si>
    <t xml:space="preserve">EXEMPLES CHIFFRES — modifie les cellules jaunes pour tester</t>
  </si>
  <si>
    <t xml:space="preserve">Type de seance</t>
  </si>
  <si>
    <t xml:space="preserve">Volume total (lb)</t>
  </si>
  <si>
    <t xml:space="preserve">Nb de PR</t>
  </si>
  <si>
    <t xml:space="preserve">XP brut</t>
  </si>
  <si>
    <t xml:space="preserve">Mult. nutrition</t>
  </si>
  <si>
    <t xml:space="preserve">Mult. moral</t>
  </si>
  <si>
    <t xml:space="preserve">Mult. streak</t>
  </si>
  <si>
    <t xml:space="preserve">XP final</t>
  </si>
  <si>
    <t xml:space="preserve">% du niveau 5</t>
  </si>
  <si>
    <t xml:space="preserve">Seance legere / retour de pause</t>
  </si>
  <si>
    <t xml:space="preserve">Seance normale — aucune nutrition loggee</t>
  </si>
  <si>
    <t xml:space="preserve">Seance normale — nutrition parfaite</t>
  </si>
  <si>
    <t xml:space="preserve">Seance normale + 1 PR + nutrition parfaite</t>
  </si>
  <si>
    <t xml:space="preserve">Grosse seance, tout aligne (streak entrainement 10 sem. + serie nutri 15 j)</t>
  </si>
  <si>
    <t xml:space="preserve">Grosse seance mais moral au plancher</t>
  </si>
  <si>
    <t xml:space="preserve">Lecture : sans nutrition loggee tu restes a 1,00 (aucun malus). Trois cibles + 15 jours de serie = jusqu'a +32% d'XP par seance. Le moral (separe) ne descend jamais sous -15%.</t>
  </si>
  <si>
    <t xml:space="preserve">REPERES DE VOLUME REEL (pour calibrer)</t>
  </si>
  <si>
    <t xml:space="preserve">Profil de seance</t>
  </si>
  <si>
    <t xml:space="preserve">Exercices</t>
  </si>
  <si>
    <t xml:space="preserve">Series x reps</t>
  </si>
  <si>
    <t xml:space="preserve">Charge moyenne (lb)</t>
  </si>
  <si>
    <t xml:space="preserve">Court / accessoire</t>
  </si>
  <si>
    <t xml:space="preserve">3 x 10</t>
  </si>
  <si>
    <t xml:space="preserve">Standard haut du corps</t>
  </si>
  <si>
    <t xml:space="preserve">4 x 8</t>
  </si>
  <si>
    <t xml:space="preserve">Standard bas du corps</t>
  </si>
  <si>
    <t xml:space="preserve">Longue seance full body</t>
  </si>
  <si>
    <t xml:space="preserve">NUTRITION &amp; MORAL — bonus pur, jamais de penalite</t>
  </si>
  <si>
    <t xml:space="preserve">La nutrition n'accorde que des bonus. Rien loggee ou cibles ratees = multiplicateur neutre (1,00), jamais de malus. Le moral, lui, ne reagit qu'a l'entrainement reel.</t>
  </si>
  <si>
    <t xml:space="preserve">LES 3 CIBLES DU JOUR — chacune independante</t>
  </si>
  <si>
    <t xml:space="preserve">Cible</t>
  </si>
  <si>
    <t xml:space="preserve">Condition de reussite</t>
  </si>
  <si>
    <t xml:space="preserve">Bonus XP si atteinte</t>
  </si>
  <si>
    <t xml:space="preserve">Si non atteinte</t>
  </si>
  <si>
    <t xml:space="preserve">Calories</t>
  </si>
  <si>
    <t xml:space="preserve">Dans +/- 10% de la cible quotidienne (2760 cal)</t>
  </si>
  <si>
    <t xml:space="preserve">Aucun bonus. Jamais de malus.</t>
  </si>
  <si>
    <t xml:space="preserve">Proteines</t>
  </si>
  <si>
    <t xml:space="preserve">Au moins 90% de la cible (150 g)</t>
  </si>
  <si>
    <t xml:space="preserve">Eau</t>
  </si>
  <si>
    <t xml:space="preserve">Au moins 90% de la cible (3,1 L)</t>
  </si>
  <si>
    <t xml:space="preserve">Maximum cumule (3 cibles le meme jour)</t>
  </si>
  <si>
    <t xml:space="preserve">LES 8 COMBINAISONS POSSIBLES D'UNE JOURNEE</t>
  </si>
  <si>
    <t xml:space="preserve">Bonus XP du jour</t>
  </si>
  <si>
    <t xml:space="preserve">Nb de cibles
atteintes</t>
  </si>
  <si>
    <t xml:space="preserve">Compte pour
la serie ? (2+)</t>
  </si>
  <si>
    <t xml:space="preserve">Oui</t>
  </si>
  <si>
    <t xml:space="preserve">OUI</t>
  </si>
  <si>
    <t xml:space="preserve">Non</t>
  </si>
  <si>
    <t xml:space="preserve">non</t>
  </si>
  <si>
    <t xml:space="preserve">Ligne du bas (aucune cible) : bonus = 0%, multiplicateur = 1,00. Des 2 cibles sur 3, le jour alimente deja la serie.</t>
  </si>
  <si>
    <t xml:space="preserve">LA SERIE (STREAK) — jours parfaits consecutifs</t>
  </si>
  <si>
    <t xml:space="preserve">Un jour compte pour la serie des que 2 des 3 cibles sont atteintes (pas besoin des 3). Un jour sous ce seuil — ou non loggue — fait retomber la serie a 0, sans jamais faire descendre le multiplicateur sous 1,00.</t>
  </si>
  <si>
    <t xml:space="preserve">Jours parfaits consecutifs</t>
  </si>
  <si>
    <t xml:space="preserve">Bonus XP de serie</t>
  </si>
  <si>
    <t xml:space="preserve">Chance gagnee</t>
  </si>
  <si>
    <t xml:space="preserve">Multiplicateur total
(jour parfait + serie)</t>
  </si>
  <si>
    <t xml:space="preserve">A 15 jours de serie et une journee parfaite : multiplicateur de 1,32, soit +32% d'XP sur la seance.</t>
  </si>
  <si>
    <t xml:space="preserve">EXEMPLE — UNE SEMAINE TYPE</t>
  </si>
  <si>
    <t xml:space="preserve">Jour</t>
  </si>
  <si>
    <t xml:space="preserve">2+ cibles atteintes ?</t>
  </si>
  <si>
    <t xml:space="preserve">Serie en cours</t>
  </si>
  <si>
    <t xml:space="preserve">Bonus serie</t>
  </si>
  <si>
    <t xml:space="preserve">Bonus du jour</t>
  </si>
  <si>
    <t xml:space="preserve">Multiplicateur total</t>
  </si>
  <si>
    <t xml:space="preserve">Jour 1</t>
  </si>
  <si>
    <t xml:space="preserve">Jour 2</t>
  </si>
  <si>
    <t xml:space="preserve">Jour 3</t>
  </si>
  <si>
    <t xml:space="preserve">Jour 4</t>
  </si>
  <si>
    <t xml:space="preserve">Jour 5</t>
  </si>
  <si>
    <t xml:space="preserve">Jour 6</t>
  </si>
  <si>
    <t xml:space="preserve">Jour 7</t>
  </si>
  <si>
    <t xml:space="preserve">Jour 3 rate -&gt; la serie retombe a 0, mais le multiplicateur ne descend jamais sous 1,00 (jamais de malus).</t>
  </si>
  <si>
    <t xml:space="preserve">MORAL — reagit uniquement a l'entrainement</t>
  </si>
  <si>
    <t xml:space="preserve">Systeme totalement separe de la nutrition. Seule source de penalite du jeu, et elle est plafonnee.</t>
  </si>
  <si>
    <t xml:space="preserve">Evenement</t>
  </si>
  <si>
    <t xml:space="preserve">Effet sur le Moral</t>
  </si>
  <si>
    <t xml:space="preserve">Seance loggee</t>
  </si>
  <si>
    <t xml:space="preserve">Seance prevue manquee (objectif hebdo)</t>
  </si>
  <si>
    <t xml:space="preserve">IMPACT DU MORAL SUR L'XP</t>
  </si>
  <si>
    <t xml:space="preserve">Moral</t>
  </si>
  <si>
    <t xml:space="preserve">Mult. XP (moral seul)</t>
  </si>
  <si>
    <t xml:space="preserve">Etat</t>
  </si>
  <si>
    <t xml:space="preserve">Le multiplicateur final d'une seance = mult. nutrition (jour + serie) x mult. moral x mult. streak entrainement x mult. collier. Deux systemes independants qui se multiplient, jamais ne s'annulent.</t>
  </si>
  <si>
    <t xml:space="preserve">DONJON — 10 paliers, le 10e est le boss</t>
  </si>
  <si>
    <t xml:space="preserve">Il se resout tout seul, meme hors-ligne (rattrapage au chargement). Echec = retour au palier 1. Chaque cycle complete durcit tout : c'est le mur qui pousse a s'entrainer davantage.</t>
  </si>
  <si>
    <t xml:space="preserve">Cycle a afficher</t>
  </si>
  <si>
    <t xml:space="preserve">Cycle 1 = premiere descente. Modifie cette cellule pour voir l'escalade.</t>
  </si>
  <si>
    <t xml:space="preserve">Palier</t>
  </si>
  <si>
    <t xml:space="preserve">Type</t>
  </si>
  <si>
    <t xml:space="preserve">PV ennemi</t>
  </si>
  <si>
    <t xml:space="preserve">ATQ ennemi</t>
  </si>
  <si>
    <t xml:space="preserve">DEF ennemi</t>
  </si>
  <si>
    <t xml:space="preserve">Or largue</t>
  </si>
  <si>
    <t xml:space="preserve">Essence</t>
  </si>
  <si>
    <t xml:space="preserve">Or cumule
(la run)</t>
  </si>
  <si>
    <t xml:space="preserve">Essence cumulee</t>
  </si>
  <si>
    <t xml:space="preserve">ESCALADE DES CYCLES — le boss cycle par cycle</t>
  </si>
  <si>
    <t xml:space="preserve">Cycle</t>
  </si>
  <si>
    <t xml:space="preserve">PV du boss</t>
  </si>
  <si>
    <t xml:space="preserve">ATQ du boss</t>
  </si>
  <si>
    <t xml:space="preserve">Or de la run complete</t>
  </si>
  <si>
    <t xml:space="preserve">Essence de la run</t>
  </si>
  <si>
    <t xml:space="preserve">Difficulte relative</t>
  </si>
  <si>
    <t xml:space="preserve">Commentaire</t>
  </si>
  <si>
    <t xml:space="preserve">Accessible des le niveau 5.</t>
  </si>
  <si>
    <t xml:space="preserve">Il faut de l'equipement rare.</t>
  </si>
  <si>
    <t xml:space="preserve">Premier vrai palier de patience.</t>
  </si>
  <si>
    <t xml:space="preserve">Exige de l'epique bien forge.</t>
  </si>
  <si>
    <t xml:space="preserve">Zone de fin de partie.</t>
  </si>
  <si>
    <t xml:space="preserve">Necessite du legendaire + forge max.</t>
  </si>
  <si>
    <t xml:space="preserve">Note de design : les PV ne se regenerent PAS entre les paliers d'une meme run. Une descente est donc une gestion de ressource, pas 10 combats independants. C'est ce qui rend l'equipement defensif utile et le boss reellement menacant.</t>
  </si>
  <si>
    <t xml:space="preserve">FRONTIERE NIVEAU / CYCLE — quel niveau faut-il pour nettoyer quel cycle</t>
  </si>
  <si>
    <t xml:space="preserve">Obtenu par recherche exhaustive sur le modele de combat (equipement moyen du cycle precedent). C'est la table de reference pour verifier que le rythme du donjon suit celui de l'entrainement.</t>
  </si>
  <si>
    <t xml:space="preserve">Niveau minimum</t>
  </si>
  <si>
    <t xml:space="preserve">Semaines estimees
(rythme 4 seances)</t>
  </si>
  <si>
    <t xml:space="preserve">Niveaux depuis
le cycle precedent</t>
  </si>
  <si>
    <t xml:space="preserve">Ressenti</t>
  </si>
  <si>
    <t xml:space="preserve">Donjon ouvert. Premieres victoires rapides.</t>
  </si>
  <si>
    <t xml:space="preserve">Un seul niveau d'ecart : ca enchaine.</t>
  </si>
  <si>
    <t xml:space="preserve">Toujours rapide — c'est la phase d'accroche.</t>
  </si>
  <si>
    <t xml:space="preserve">L'equipement commence a compter autant que le niveau.</t>
  </si>
  <si>
    <t xml:space="preserve">Il faut de l'epique bien forge.</t>
  </si>
  <si>
    <t xml:space="preserve">Zone de fin de partie. Chaque cycle = plusieurs mois.</t>
  </si>
  <si>
    <t xml:space="preserve">Necessite du legendaire + forge poussee.</t>
  </si>
  <si>
    <t xml:space="preserve">Lecture : les 3 premiers cycles s'enchainent en quelques semaines (l'accroche), puis l'ecart se creuse. Passe le cycle 10, un cycle represente plusieurs mois d'entrainement reel. Le donjon ne peut jamais depasser le niveau — impossible de farmer sa sortie d'un mur.</t>
  </si>
  <si>
    <t xml:space="preserve">SIMULATEUR DE COMBAT — est-ce que ce niveau passe le donjon ?</t>
  </si>
  <si>
    <t xml:space="preserve">Degats = ATQ x (1 - DEF/(DEF+K)). Les PV ne remontent que partiellement entre les paliers (levier de regeneration) : une run est une gestion de ressource, pas 10 combats independants.</t>
  </si>
  <si>
    <t xml:space="preserve">ENTREES — modifie les cellules jaunes</t>
  </si>
  <si>
    <t xml:space="preserve">Niveau du joueur</t>
  </si>
  <si>
    <t xml:space="preserve">Palier moyen de drop</t>
  </si>
  <si>
    <t xml:space="preserve">Cycle du donjon</t>
  </si>
  <si>
    <t xml:space="preserve">Rarete moyenne (1=commun, 2,6=epique)</t>
  </si>
  <si>
    <t xml:space="preserve">Bonus ATQ de l'equipement</t>
  </si>
  <si>
    <t xml:space="preserve">PV par point de puissance</t>
  </si>
  <si>
    <t xml:space="preserve">Bonus PV de l'equipement</t>
  </si>
  <si>
    <t xml:space="preserve">DEF par point de puissance</t>
  </si>
  <si>
    <t xml:space="preserve">Bonus DEF de l'equipement</t>
  </si>
  <si>
    <t xml:space="preserve">L'equipement s'ajuste au cycle choisi. Ecris tes vrais chiffres en B7:B9 pour tester un set precis.</t>
  </si>
  <si>
    <t xml:space="preserve">Bonus critique de l'equipement</t>
  </si>
  <si>
    <t xml:space="preserve">Bonus critique de l'equipement (bague).</t>
  </si>
  <si>
    <t xml:space="preserve">STATS EFFECTIVES DU PERSONNAGE</t>
  </si>
  <si>
    <t xml:space="preserve">PV total</t>
  </si>
  <si>
    <t xml:space="preserve">ATQ total</t>
  </si>
  <si>
    <t xml:space="preserve">DEF totale</t>
  </si>
  <si>
    <t xml:space="preserve">Critique total</t>
  </si>
  <si>
    <t xml:space="preserve">Reduction de degats subie</t>
  </si>
  <si>
    <t xml:space="preserve">RESOLUTION PALIER PAR PALIER</t>
  </si>
  <si>
    <t xml:space="preserve">Degats
par coup</t>
  </si>
  <si>
    <t xml:space="preserve">Degats moyens
(avec crit)</t>
  </si>
  <si>
    <t xml:space="preserve">Tours pour
tuer</t>
  </si>
  <si>
    <t xml:space="preserve">Degats subis
par tour</t>
  </si>
  <si>
    <t xml:space="preserve">PV perdus
au palier</t>
  </si>
  <si>
    <t xml:space="preserve">PV restants</t>
  </si>
  <si>
    <t xml:space="preserve">Resultat</t>
  </si>
  <si>
    <t xml:space="preserve">VERDICT</t>
  </si>
  <si>
    <t xml:space="preserve">Palier le plus loin nettoye</t>
  </si>
  <si>
    <t xml:space="preserve">Run complete ?</t>
  </si>
  <si>
    <t xml:space="preserve">Marge de PV a la fin</t>
  </si>
  <si>
    <t xml:space="preserve">Diagnostic</t>
  </si>
  <si>
    <t xml:space="preserve">Regle de calibrage : une run reussie a niveau approprie doit se terminer avec 5 a 25% des PV. Au-dela de 40%, augmente le cycle. En dessous de 0, il faut du niveau ou de l'equipement.</t>
  </si>
  <si>
    <t xml:space="preserve">EQUIPEMENT — 6 emplacements, 5 raretes, forge</t>
  </si>
  <si>
    <t xml:space="preserve">Puissance = (base + palier x coefficient) x multiplicateur de rarete x croissance du cycle. Les objets tombent rarement : la fusion, pas le drop, est la vraie source d'equipement.</t>
  </si>
  <si>
    <t xml:space="preserve">Cycle de reference</t>
  </si>
  <si>
    <t xml:space="preserve">Les objets se bonifient avec le cycle, sinon l'equipement plafonnerait des le cycle 1.</t>
  </si>
  <si>
    <t xml:space="preserve">LES 6 EMPLACEMENTS</t>
  </si>
  <si>
    <t xml:space="preserve">Emplacement</t>
  </si>
  <si>
    <t xml:space="preserve">Stat principale</t>
  </si>
  <si>
    <t xml:space="preserve">Stat secondaire</t>
  </si>
  <si>
    <t xml:space="preserve">Poids de puissance</t>
  </si>
  <si>
    <t xml:space="preserve">Role</t>
  </si>
  <si>
    <t xml:space="preserve">Arme</t>
  </si>
  <si>
    <t xml:space="preserve">La source principale de degats.</t>
  </si>
  <si>
    <t xml:space="preserve">Casque</t>
  </si>
  <si>
    <t xml:space="preserve">Survie de base.</t>
  </si>
  <si>
    <t xml:space="preserve">Plastron</t>
  </si>
  <si>
    <t xml:space="preserve">Le plus gros bloc defensif.</t>
  </si>
  <si>
    <t xml:space="preserve">Jambieres</t>
  </si>
  <si>
    <t xml:space="preserve">Defense secondaire.</t>
  </si>
  <si>
    <t xml:space="preserve">Bague</t>
  </si>
  <si>
    <t xml:space="preserve">Amplifie l'arme.</t>
  </si>
  <si>
    <t xml:space="preserve">Collier</t>
  </si>
  <si>
    <t xml:space="preserve">Chance</t>
  </si>
  <si>
    <t xml:space="preserve">Bonus XP</t>
  </si>
  <si>
    <t xml:space="preserve">Ameliore le loot et l'XP — l'objet qui se cumule avec la nutrition.</t>
  </si>
  <si>
    <t xml:space="preserve">Total des poids</t>
  </si>
  <si>
    <t xml:space="preserve">PUISSANCE BRUTE D'UN OBJET SELON LE PALIER ET LA RARETE</t>
  </si>
  <si>
    <t xml:space="preserve">Vente — or recu par objet</t>
  </si>
  <si>
    <t xml:space="preserve">Palier de
drop</t>
  </si>
  <si>
    <t xml:space="preserve">Commun</t>
  </si>
  <si>
    <t xml:space="preserve">Rare</t>
  </si>
  <si>
    <t xml:space="preserve">Ultra-rare</t>
  </si>
  <si>
    <t xml:space="preserve">Mythique</t>
  </si>
  <si>
    <t xml:space="preserve">Legendaire</t>
  </si>
  <si>
    <t xml:space="preserve">Ecart Legendaire
/ Commun</t>
  </si>
  <si>
    <t xml:space="preserve">Un legendaire du palier 1 (puissance ~42) vaut moins qu'un commun du palier 10 (~46). La progression dans le donjon prime toujours sur la chance : impossible de sauter des etapes avec un coup de chance.</t>
  </si>
  <si>
    <t xml:space="preserve">Boucle fermee : monter de cycle donne de meilleurs objets, qui permettent de monter de cycle. Mais le NIVEAU (PV/ATQ/DEF) reste le vrai plafond, et il n'existe que par l'entrainement reel. Impossible de farmer sa sortie d'un mur.</t>
  </si>
  <si>
    <t xml:space="preserve">FORGE — ameliorer un objet deja possede (paye en Gemmes)</t>
  </si>
  <si>
    <t xml:space="preserve">Les Gemmes viennent UNIQUEMENT des montees de niveau, donc de vrai entrainement. La forge est la recompense directe de la salle.</t>
  </si>
  <si>
    <t xml:space="preserve">Niveau de forge</t>
  </si>
  <si>
    <t xml:space="preserve">Gain cumule</t>
  </si>
  <si>
    <t xml:space="preserve">Cout en gemmes</t>
  </si>
  <si>
    <t xml:space="preserve">Cout cumule</t>
  </si>
  <si>
    <t xml:space="preserve">Niveaux a monter pour se le payer</t>
  </si>
  <si>
    <t xml:space="preserve">Forge max sur un objet = +80% de puissance. Cout total ~ une douzaine de montees de niveau. Un objet forge au maximum reste donc un choix : on ne peut pas tout monter.</t>
  </si>
  <si>
    <t xml:space="preserve">FUSION &amp; VENTE — que faire d'un objet</t>
  </si>
  <si>
    <t xml:space="preserve">Trois objets de meme rarete ET meme emplacement fusionnent en un objet de la rarete au-dessus. L'objet obtenu herite du PALIER LE PLUS ELEVE des trois. Tout le reste se vend.</t>
  </si>
  <si>
    <t xml:space="preserve">L'ECHELLE DE RARETE ET SON COUT REEL</t>
  </si>
  <si>
    <t xml:space="preserve">Rarete</t>
  </si>
  <si>
    <t xml:space="preserve">Multiplicateur
de puissance</t>
  </si>
  <si>
    <t xml:space="preserve">Fusions
cumulees</t>
  </si>
  <si>
    <t xml:space="preserve">Cout en communs
(equivalents)</t>
  </si>
  <si>
    <t xml:space="preserve">Poids de drop direct</t>
  </si>
  <si>
    <t xml:space="preserve">Probabilite de
drop direct</t>
  </si>
  <si>
    <t xml:space="preserve">Chemin realiste</t>
  </si>
  <si>
    <t xml:space="preserve">Le minerai. Tu en auras beaucoup.</t>
  </si>
  <si>
    <t xml:space="preserve">Fusion de 3 communs, ou drop direct frequent.</t>
  </si>
  <si>
    <t xml:space="preserve">Fusion. Un drop direct reste une bonne surprise.</t>
  </si>
  <si>
    <t xml:space="preserve">Fusion presque toujours. 9 fusions en amont.</t>
  </si>
  <si>
    <t xml:space="preserve">Fusion uniquement, en pratique. 40 fusions en amont.</t>
  </si>
  <si>
    <t xml:space="preserve">RYTHME REEL D'ACQUISITION</t>
  </si>
  <si>
    <t xml:space="preserve">La fusion exige le meme emplacement, donc le flux se divise par 6. C'est ce qui empeche d'avoir six pieces legendaires en trois mois.</t>
  </si>
  <si>
    <t xml:space="preserve">Objets largues par semaine (tous emplacements)</t>
  </si>
  <si>
    <t xml:space="preserve">Objets largues par semaine et par emplacement</t>
  </si>
  <si>
    <t xml:space="preserve">Valeur moyenne d'un drop (en communs-equivalents)</t>
  </si>
  <si>
    <t xml:space="preserve">Communs-equivalents par semaine et par emplacement</t>
  </si>
  <si>
    <t xml:space="preserve">TEMPS POUR OBTENIR UNE PIECE, PAR EMPLACEMENT</t>
  </si>
  <si>
    <t xml:space="preserve">Rarete visee</t>
  </si>
  <si>
    <t xml:space="preserve">Communs-equivalents requis</t>
  </si>
  <si>
    <t xml:space="preserve">Semaines</t>
  </si>
  <si>
    <t xml:space="preserve">Mois</t>
  </si>
  <si>
    <t xml:space="preserve">Immediat.</t>
  </si>
  <si>
    <t xml:space="preserve">Quelques jours.</t>
  </si>
  <si>
    <t xml:space="preserve">Environ deux semaines.</t>
  </si>
  <si>
    <t xml:space="preserve">Un objectif mensuel — ca se planifie.</t>
  </si>
  <si>
    <t xml:space="preserve">L'objectif de l'annee. Une seule piece a la fois.</t>
  </si>
  <si>
    <t xml:space="preserve">FUSION CHANCEUSE — ou la nutrition paie vraiment</t>
  </si>
  <si>
    <t xml:space="preserve">Chaque fusion peut sauter DEUX raretes au lieu d'une. La probabilite vient uniquement de la Chance, donc de la serie nutrition et du collier.</t>
  </si>
  <si>
    <t xml:space="preserve">Points de Chance</t>
  </si>
  <si>
    <t xml:space="preserve">Probabilite de saut double</t>
  </si>
  <si>
    <t xml:space="preserve">Communs-equivalents economises</t>
  </si>
  <si>
    <t xml:space="preserve">Semaines gagnees sur un Legendaire</t>
  </si>
  <si>
    <t xml:space="preserve">VENTE — pourquoi ce n'est jamais un raccourci</t>
  </si>
  <si>
    <t xml:space="preserve">Verification</t>
  </si>
  <si>
    <t xml:space="preserve">Valeur</t>
  </si>
  <si>
    <t xml:space="preserve">Verdict</t>
  </si>
  <si>
    <t xml:space="preserve">Prix de vente d'un commun (palier 8)</t>
  </si>
  <si>
    <t xml:space="preserve">Cout d'un coffre en or</t>
  </si>
  <si>
    <t xml:space="preserve">Communs a vendre pour payer un coffre</t>
  </si>
  <si>
    <t xml:space="preserve">Objets obtenus par coffre</t>
  </si>
  <si>
    <t xml:space="preserve">Ratio vendu / obtenu</t>
  </si>
  <si>
    <t xml:space="preserve">Vendre pour racheter des coffres est toujours perdant : il faut sacrifier une dizaine d'objets pour en obtenir un seul. Aucune boucle infinie possible.</t>
  </si>
  <si>
    <t xml:space="preserve">LA DECISION, A CHAQUE OBJET</t>
  </si>
  <si>
    <t xml:space="preserve">Tu as deja 2 objets identiques</t>
  </si>
  <si>
    <t xml:space="preserve">FUSIONNE. Le 3e complete le triplet.</t>
  </si>
  <si>
    <t xml:space="preserve">Objet d'un palier plus haut que ton equipe</t>
  </si>
  <si>
    <t xml:space="preserve">EQUIPE-LE. Le palier prime sur la rarete a niveau egal.</t>
  </si>
  <si>
    <t xml:space="preserve">Commun d'un emplacement deja bien servi</t>
  </si>
  <si>
    <t xml:space="preserve">GARDE-LE quand meme si tu es a 1 ou 2 du triplet.</t>
  </si>
  <si>
    <t xml:space="preserve">Objet d'un palier tres bas, aucun triplet en vue</t>
  </si>
  <si>
    <t xml:space="preserve">VENDS. C'est le seul vrai dechet du systeme.</t>
  </si>
  <si>
    <t xml:space="preserve">Tu hesites entre fusionner et vendre</t>
  </si>
  <si>
    <t xml:space="preserve">FUSIONNE. La vente rapporte toujours moins que la puissance gagnee.</t>
  </si>
  <si>
    <t xml:space="preserve">COUT EN OR DE LA FUSION — le vrai usage de l'or</t>
  </si>
  <si>
    <t xml:space="preserve">Chaque etage de rarete coute le meme total en or. L'or ne fait jamais avancer seul : il debloque des fusions dont tu as deja la matiere.</t>
  </si>
  <si>
    <t xml:space="preserve">Fusion</t>
  </si>
  <si>
    <t xml:space="preserve">Cout unitaire (or)</t>
  </si>
  <si>
    <t xml:space="preserve">Fusions requises
pour 1 Legendaire</t>
  </si>
  <si>
    <t xml:space="preserve">Or total a cet etage</t>
  </si>
  <si>
    <t xml:space="preserve">Semaines d'or</t>
  </si>
  <si>
    <t xml:space="preserve">3 Communs -&gt; 1 Rare</t>
  </si>
  <si>
    <t xml:space="preserve">3 Rares -&gt; 1 Ultra-rare</t>
  </si>
  <si>
    <t xml:space="preserve">3 Ultra-rares -&gt; 1 Mythique</t>
  </si>
  <si>
    <t xml:space="preserve">3 Mythiques -&gt; 1 Legendaire</t>
  </si>
  <si>
    <t xml:space="preserve">TOTAL — 1 Legendaire depuis zero</t>
  </si>
  <si>
    <t xml:space="preserve">Propriete voulue : les quatre etages coutent exactement le meme total. Fusionner du commun en masse coute aussi cher que la fusion finale — l'or reste utile du debut a la fin.</t>
  </si>
  <si>
    <t xml:space="preserve">LOOT &amp; ANTI-MALCHANCE — taux de drop, Chance, pity</t>
  </si>
  <si>
    <t xml:space="preserve">Les drops sont rares (~1 objet tous les 10 paliers). Le hasard cree l'excitation, le pity plafonne le pire cas, et la fusion garantit que rien n'est jamais perdu.</t>
  </si>
  <si>
    <t xml:space="preserve">Points de Chance du joueur</t>
  </si>
  <si>
    <t xml:space="preserve">Vient de la serie nutrition + du collier. Max nutrition = 30.</t>
  </si>
  <si>
    <t xml:space="preserve">TABLE DE RARETE</t>
  </si>
  <si>
    <t xml:space="preserve">Poids de base</t>
  </si>
  <si>
    <t xml:space="preserve">Facteur
de Chance</t>
  </si>
  <si>
    <t xml:space="preserve">Poids effectif</t>
  </si>
  <si>
    <t xml:space="preserve">Probabilite
(par objet largue)</t>
  </si>
  <si>
    <t xml:space="preserve">Objets a obtenir
en moyenne</t>
  </si>
  <si>
    <t xml:space="preserve">Paliers a nettoyer
en moyenne</t>
  </si>
  <si>
    <t xml:space="preserve">Total</t>
  </si>
  <si>
    <t xml:space="preserve">PROBABILITE CUMULEE D'AVOIR AU MOINS 1 LEGENDAIRE</t>
  </si>
  <si>
    <t xml:space="preserve">Objets largues</t>
  </si>
  <si>
    <t xml:space="preserve">Sans pity</t>
  </si>
  <si>
    <t xml:space="preserve">Avec pity (doux + dur)</t>
  </si>
  <si>
    <t xml:space="preserve">Jours reels equivalents</t>
  </si>
  <si>
    <t xml:space="preserve">Hypothese : ~8 paliers nettoyes par jour. Avec le pity dur, un legendaire est garanti au 60e objet largue, soit environ 3 semaines dans le pire des cas.</t>
  </si>
  <si>
    <t xml:space="preserve">COURBE DU PITY DOUX</t>
  </si>
  <si>
    <t xml:space="preserve">Objet largue n°</t>
  </si>
  <si>
    <t xml:space="preserve">Chance de legendaire a ce tirage</t>
  </si>
  <si>
    <t xml:space="preserve">Statut</t>
  </si>
  <si>
    <t xml:space="preserve">Pourquoi ce systeme : le tirage reste excitant a chaque palier (ca peut tomber n'importe quand), mais la malchance a une fin connue. C'est ce qui evite l'abandon.</t>
  </si>
  <si>
    <t xml:space="preserve">ECONOMIE — 3 monnaies, 3 sources, 3 usages</t>
  </si>
  <si>
    <t xml:space="preserve">Or = farmable, volume. Essence = farmable, petites ameliorations. Gemmes = uniquement en montant de niveau, donc uniquement par vrai entrainement.</t>
  </si>
  <si>
    <t xml:space="preserve">HYPOTHESES D'ACTIVITE</t>
  </si>
  <si>
    <t xml:space="preserve">Seances par semaine</t>
  </si>
  <si>
    <t xml:space="preserve">Runs de donjon completes par semaine</t>
  </si>
  <si>
    <t xml:space="preserve">Cycle de donjon actuel</t>
  </si>
  <si>
    <t xml:space="preserve">Niveaux gagnes par mois (a ce stade)</t>
  </si>
  <si>
    <t xml:space="preserve">REVENUS</t>
  </si>
  <si>
    <t xml:space="preserve">Monnaie</t>
  </si>
  <si>
    <t xml:space="preserve">Source unique</t>
  </si>
  <si>
    <t xml:space="preserve">Par semaine</t>
  </si>
  <si>
    <t xml:space="preserve">Par mois</t>
  </si>
  <si>
    <t xml:space="preserve">Farmable sans s'entrainer ?</t>
  </si>
  <si>
    <t xml:space="preserve">Or</t>
  </si>
  <si>
    <t xml:space="preserve">Paliers de donjon nettoyes</t>
  </si>
  <si>
    <t xml:space="preserve">Oui — mais bride par le palier atteint</t>
  </si>
  <si>
    <t xml:space="preserve">Oui — c'est la monnaie de patience</t>
  </si>
  <si>
    <t xml:space="preserve">Gemmes</t>
  </si>
  <si>
    <t xml:space="preserve">Montees de niveau uniquement</t>
  </si>
  <si>
    <t xml:space="preserve">NON — exige de l'entrainement reel</t>
  </si>
  <si>
    <t xml:space="preserve">DEPENSES</t>
  </si>
  <si>
    <t xml:space="preserve">Achat</t>
  </si>
  <si>
    <t xml:space="preserve">Cout</t>
  </si>
  <si>
    <t xml:space="preserve">Ce que ca donne</t>
  </si>
  <si>
    <t xml:space="preserve">Semaines pour se le payer</t>
  </si>
  <si>
    <t xml:space="preserve">Coffre d'objet</t>
  </si>
  <si>
    <t xml:space="preserve">1 objet aleatoire (table de rarete)</t>
  </si>
  <si>
    <t xml:space="preserve">Amelioration de stat #1</t>
  </si>
  <si>
    <t xml:space="preserve">+1 point de stat permanent</t>
  </si>
  <si>
    <t xml:space="preserve">Amelioration de stat #5</t>
  </si>
  <si>
    <t xml:space="preserve">Cout x1,25 par amelioration deja achetee</t>
  </si>
  <si>
    <t xml:space="preserve">Amelioration de stat #10</t>
  </si>
  <si>
    <t xml:space="preserve">Le mur naturel de l'essence</t>
  </si>
  <si>
    <t xml:space="preserve">Forge niveau 1</t>
  </si>
  <si>
    <t xml:space="preserve">+8% sur un objet</t>
  </si>
  <si>
    <t xml:space="preserve">Forge complete (niv. 10)</t>
  </si>
  <si>
    <t xml:space="preserve">+80% sur un objet</t>
  </si>
  <si>
    <t xml:space="preserve">Coffre legendaire</t>
  </si>
  <si>
    <t xml:space="preserve">Rarete minimum garantie : Epique</t>
  </si>
  <si>
    <t xml:space="preserve">REGLE D'EQUILIBRE</t>
  </si>
  <si>
    <t xml:space="preserve">L'or ne doit jamais etre bloquant.</t>
  </si>
  <si>
    <t xml:space="preserve">Il sert au volume : ouvrir des coffres souvent, sentir le flux.</t>
  </si>
  <si>
    <t xml:space="preserve">L'essence doit devenir rare avec le temps.</t>
  </si>
  <si>
    <t xml:space="preserve">Cout x1,25 cumulatif : les 5 premieres ameliorations sont rapides, la 10e est un objectif.</t>
  </si>
  <si>
    <t xml:space="preserve">Les gemmes sont la vraie devise de prestige.</t>
  </si>
  <si>
    <t xml:space="preserve">Impossible a farmer. Chaque gemme = une seance reelle. C'est le lien incassable avec la salle.</t>
  </si>
  <si>
    <t xml:space="preserve">Aucun achat ne remplace la progression.</t>
  </si>
  <si>
    <t xml:space="preserve">Un objet achete reste limite par le palier de donjon atteint.</t>
  </si>
  <si>
    <t xml:space="preserve">SIMULATION AN 1 — a quoi ressemble une annee reelle</t>
  </si>
  <si>
    <t xml:space="preserve">Projection semaine par semaine avec un rythme d'entrainement realiste. Change les leviers ci-dessous pour tester un scenario (assidu, moyen, irregulier).</t>
  </si>
  <si>
    <t xml:space="preserve">SCENARIO</t>
  </si>
  <si>
    <t xml:space="preserve">4 = objectif. Mets 2 pour tester un scenario irregulier.</t>
  </si>
  <si>
    <t xml:space="preserve">Volume moyen par seance (lb)</t>
  </si>
  <si>
    <t xml:space="preserve">PR par seance</t>
  </si>
  <si>
    <t xml:space="preserve">Taux d'adhesion nutrition (0 a 1)</t>
  </si>
  <si>
    <t xml:space="preserve">Approxime le taux de jours ou les 3 cibles sont atteintes (sans effet de serie, simplifie).</t>
  </si>
  <si>
    <t xml:space="preserve">Multiplicateur de moral moyen</t>
  </si>
  <si>
    <t xml:space="preserve">Runs de donjon par semaine</t>
  </si>
  <si>
    <t xml:space="preserve">Croissance du volume par semaine</t>
  </si>
  <si>
    <t xml:space="preserve">Dans la vraie vie tu leves plus lourd avec le temps. +0,8%/sem = +50% sur un an, plafonne a 2x.</t>
  </si>
  <si>
    <t xml:space="preserve">Sem.</t>
  </si>
  <si>
    <t xml:space="preserve">XP brut
de la semaine</t>
  </si>
  <si>
    <t xml:space="preserve">Mult.
nutrition</t>
  </si>
  <si>
    <t xml:space="preserve">Mult.
streak</t>
  </si>
  <si>
    <t xml:space="preserve">XP net
de la semaine</t>
  </si>
  <si>
    <t xml:space="preserve">Cycle de
donjon</t>
  </si>
  <si>
    <t xml:space="preserve">Or cumule</t>
  </si>
  <si>
    <t xml:space="preserve">Essence
cumulee</t>
  </si>
  <si>
    <t xml:space="preserve">Niveau 1 → premiers paliers</t>
  </si>
  <si>
    <t xml:space="preserve">1er mois</t>
  </si>
  <si>
    <t xml:space="preserve">3 mois</t>
  </si>
  <si>
    <t xml:space="preserve">6 mois</t>
  </si>
  <si>
    <t xml:space="preserve">9 mois</t>
  </si>
  <si>
    <t xml:space="preserve">1 an</t>
  </si>
</sst>
</file>

<file path=xl/styles.xml><?xml version="1.0" encoding="utf-8"?>
<styleSheet xmlns="http://schemas.openxmlformats.org/spreadsheetml/2006/main">
  <numFmts count="14">
    <numFmt numFmtId="164" formatCode="General"/>
    <numFmt numFmtId="165" formatCode="0.00"/>
    <numFmt numFmtId="166" formatCode="0.0"/>
    <numFmt numFmtId="167" formatCode="0.0%"/>
    <numFmt numFmtId="168" formatCode="0%"/>
    <numFmt numFmtId="169" formatCode="0.000"/>
    <numFmt numFmtId="170" formatCode="General"/>
    <numFmt numFmtId="171" formatCode="#,##0"/>
    <numFmt numFmtId="172" formatCode="0"/>
    <numFmt numFmtId="173" formatCode="\+0;\-0;0"/>
    <numFmt numFmtId="174" formatCode="0.00\x"/>
    <numFmt numFmtId="175" formatCode="#,##0.0"/>
    <numFmt numFmtId="176" formatCode="0.0\x"/>
    <numFmt numFmtId="177" formatCode="0.00%"/>
  </numFmts>
  <fonts count="3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name val="Arial"/>
      <family val="0"/>
      <charset val="1"/>
    </font>
    <font>
      <b val="true"/>
      <sz val="10"/>
      <name val="Arial"/>
      <family val="0"/>
      <charset val="1"/>
    </font>
    <font>
      <sz val="10"/>
      <name val="Arial"/>
      <family val="0"/>
      <charset val="1"/>
    </font>
    <font>
      <b val="true"/>
      <sz val="11"/>
      <name val="Arial"/>
      <family val="0"/>
      <charset val="1"/>
    </font>
    <font>
      <b val="true"/>
      <sz val="10"/>
      <color rgb="FF0000FF"/>
      <name val="Arial"/>
      <family val="0"/>
      <charset val="1"/>
    </font>
    <font>
      <i val="true"/>
      <sz val="9"/>
      <color rgb="FF666666"/>
      <name val="Arial"/>
      <family val="0"/>
      <charset val="1"/>
    </font>
    <font>
      <b val="true"/>
      <sz val="10"/>
      <color rgb="FF000000"/>
      <name val="Arial"/>
      <family val="0"/>
      <charset val="1"/>
    </font>
    <font>
      <i val="true"/>
      <sz val="9"/>
      <name val="Arial"/>
      <family val="0"/>
      <charset val="1"/>
    </font>
    <font>
      <b val="true"/>
      <sz val="9"/>
      <color rgb="FFFFFFFF"/>
      <name val="Arial"/>
      <family val="0"/>
      <charset val="1"/>
    </font>
    <font>
      <b val="true"/>
      <sz val="9"/>
      <name val="Arial"/>
      <family val="0"/>
      <charset val="1"/>
    </font>
    <font>
      <sz val="9"/>
      <color rgb="FF008000"/>
      <name val="Arial"/>
      <family val="0"/>
      <charset val="1"/>
    </font>
    <font>
      <sz val="9"/>
      <color rgb="FF000000"/>
      <name val="Arial"/>
      <family val="0"/>
      <charset val="1"/>
    </font>
    <font>
      <b val="true"/>
      <i val="true"/>
      <sz val="9"/>
      <color rgb="FF2563EB"/>
      <name val="Arial"/>
      <family val="0"/>
      <charset val="1"/>
    </font>
    <font>
      <i val="true"/>
      <sz val="9"/>
      <color rgb="FF2563EB"/>
      <name val="Arial"/>
      <family val="0"/>
      <charset val="1"/>
    </font>
    <font>
      <b val="true"/>
      <sz val="18"/>
      <color rgb="FF000000"/>
      <name val="Calibri"/>
      <family val="2"/>
    </font>
    <font>
      <sz val="10"/>
      <color rgb="FF000000"/>
      <name val="Calibri"/>
      <family val="2"/>
    </font>
    <font>
      <b val="true"/>
      <sz val="10"/>
      <color rgb="FF000000"/>
      <name val="Calibri"/>
      <family val="2"/>
    </font>
    <font>
      <sz val="9"/>
      <name val="Arial"/>
      <family val="0"/>
      <charset val="1"/>
    </font>
    <font>
      <sz val="9"/>
      <color rgb="FF0000FF"/>
      <name val="Arial"/>
      <family val="0"/>
      <charset val="1"/>
    </font>
    <font>
      <b val="true"/>
      <sz val="9"/>
      <color rgb="FF000000"/>
      <name val="Arial"/>
      <family val="0"/>
      <charset val="1"/>
    </font>
    <font>
      <b val="true"/>
      <sz val="9"/>
      <color rgb="FF008000"/>
      <name val="Arial"/>
      <family val="0"/>
      <charset val="1"/>
    </font>
    <font>
      <b val="true"/>
      <sz val="9"/>
      <color rgb="FF2563EB"/>
      <name val="Arial"/>
      <family val="0"/>
      <charset val="1"/>
    </font>
    <font>
      <sz val="9"/>
      <color rgb="FF999999"/>
      <name val="Arial"/>
      <family val="0"/>
      <charset val="1"/>
    </font>
    <font>
      <b val="true"/>
      <sz val="9"/>
      <color rgb="FF0000FF"/>
      <name val="Arial"/>
      <family val="0"/>
      <charset val="1"/>
    </font>
    <font>
      <b val="true"/>
      <sz val="10"/>
      <color rgb="FF008000"/>
      <name val="Arial"/>
      <family val="0"/>
      <charset val="1"/>
    </font>
    <font>
      <b val="true"/>
      <sz val="11"/>
      <color rgb="FF000000"/>
      <name val="Arial"/>
      <family val="0"/>
      <charset val="1"/>
    </font>
    <font>
      <b val="true"/>
      <sz val="10"/>
      <color rgb="FF2563EB"/>
      <name val="Arial"/>
      <family val="0"/>
      <charset val="1"/>
    </font>
    <font>
      <sz val="9"/>
      <color rgb="FF2563EB"/>
      <name val="Arial"/>
      <family val="0"/>
      <charset val="1"/>
    </font>
  </fonts>
  <fills count="7">
    <fill>
      <patternFill patternType="none"/>
    </fill>
    <fill>
      <patternFill patternType="gray125"/>
    </fill>
    <fill>
      <patternFill patternType="solid">
        <fgColor rgb="FF2563EB"/>
        <bgColor rgb="FF0066CC"/>
      </patternFill>
    </fill>
    <fill>
      <patternFill patternType="solid">
        <fgColor rgb="FFD9D9D9"/>
        <bgColor rgb="FFFDE8E8"/>
      </patternFill>
    </fill>
    <fill>
      <patternFill patternType="solid">
        <fgColor rgb="FFFFFF00"/>
        <bgColor rgb="FFFFFF00"/>
      </patternFill>
    </fill>
    <fill>
      <patternFill patternType="solid">
        <fgColor rgb="FFF2F6FF"/>
        <bgColor rgb="FFFFFFFF"/>
      </patternFill>
    </fill>
    <fill>
      <patternFill patternType="solid">
        <fgColor rgb="FFFDE8E8"/>
        <bgColor rgb="FFF2F6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general" vertical="bottom" textRotation="0" wrapText="false" indent="0" shrinkToFit="false"/>
      <protection locked="true" hidden="false"/>
    </xf>
    <xf numFmtId="166" fontId="9" fillId="4" borderId="1" xfId="0" applyFont="true" applyBorder="true" applyAlignment="true" applyProtection="false">
      <alignment horizontal="general" vertical="bottom" textRotation="0" wrapText="false" indent="0" shrinkToFit="false"/>
      <protection locked="true" hidden="false"/>
    </xf>
    <xf numFmtId="167" fontId="9" fillId="4" borderId="1" xfId="0" applyFont="true" applyBorder="true" applyAlignment="true" applyProtection="false">
      <alignment horizontal="general" vertical="bottom" textRotation="0" wrapText="false" indent="0" shrinkToFit="false"/>
      <protection locked="true" hidden="false"/>
    </xf>
    <xf numFmtId="168" fontId="9" fillId="4"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9" fontId="9" fillId="4" borderId="1" xfId="0" applyFont="true" applyBorder="true" applyAlignment="true" applyProtection="false">
      <alignment horizontal="general" vertical="bottom" textRotation="0" wrapText="false" indent="0" shrinkToFit="false"/>
      <protection locked="true" hidden="false"/>
    </xf>
    <xf numFmtId="170" fontId="11" fillId="0"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71" fontId="15" fillId="0" borderId="1" xfId="0" applyFont="true" applyBorder="true" applyAlignment="true" applyProtection="false">
      <alignment horizontal="general" vertical="bottom" textRotation="0" wrapText="false" indent="0" shrinkToFit="false"/>
      <protection locked="true" hidden="false"/>
    </xf>
    <xf numFmtId="171" fontId="16" fillId="0" borderId="1" xfId="0" applyFont="true" applyBorder="true" applyAlignment="true" applyProtection="false">
      <alignment horizontal="general" vertical="bottom" textRotation="0" wrapText="false" indent="0" shrinkToFit="false"/>
      <protection locked="true" hidden="false"/>
    </xf>
    <xf numFmtId="167" fontId="15" fillId="0" borderId="1" xfId="0" applyFont="true" applyBorder="true" applyAlignment="true" applyProtection="false">
      <alignment horizontal="general" vertical="bottom" textRotation="0" wrapText="false" indent="0" shrinkToFit="false"/>
      <protection locked="true" hidden="false"/>
    </xf>
    <xf numFmtId="166" fontId="15" fillId="0" borderId="1" xfId="0" applyFont="true" applyBorder="true" applyAlignment="true" applyProtection="false">
      <alignment horizontal="general" vertical="bottom" textRotation="0" wrapText="false" indent="0" shrinkToFit="false"/>
      <protection locked="true" hidden="false"/>
    </xf>
    <xf numFmtId="166" fontId="16" fillId="0" borderId="1"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4" fillId="5" borderId="1" xfId="0" applyFont="true" applyBorder="true" applyAlignment="true" applyProtection="false">
      <alignment horizontal="general" vertical="bottom" textRotation="0" wrapText="false" indent="0" shrinkToFit="false"/>
      <protection locked="true" hidden="false"/>
    </xf>
    <xf numFmtId="171" fontId="15" fillId="5" borderId="1" xfId="0" applyFont="true" applyBorder="true" applyAlignment="true" applyProtection="false">
      <alignment horizontal="general" vertical="bottom" textRotation="0" wrapText="false" indent="0" shrinkToFit="false"/>
      <protection locked="true" hidden="false"/>
    </xf>
    <xf numFmtId="171" fontId="16" fillId="5" borderId="1" xfId="0" applyFont="true" applyBorder="true" applyAlignment="true" applyProtection="false">
      <alignment horizontal="general" vertical="bottom" textRotation="0" wrapText="false" indent="0" shrinkToFit="false"/>
      <protection locked="true" hidden="false"/>
    </xf>
    <xf numFmtId="167" fontId="15" fillId="5" borderId="1" xfId="0" applyFont="true" applyBorder="true" applyAlignment="true" applyProtection="false">
      <alignment horizontal="general" vertical="bottom" textRotation="0" wrapText="false" indent="0" shrinkToFit="false"/>
      <protection locked="true" hidden="false"/>
    </xf>
    <xf numFmtId="166" fontId="15" fillId="5" borderId="1" xfId="0" applyFont="true" applyBorder="true" applyAlignment="true" applyProtection="false">
      <alignment horizontal="general" vertical="bottom" textRotation="0" wrapText="false" indent="0" shrinkToFit="false"/>
      <protection locked="true" hidden="false"/>
    </xf>
    <xf numFmtId="166" fontId="16" fillId="5" borderId="1" xfId="0" applyFont="true" applyBorder="true" applyAlignment="true" applyProtection="false">
      <alignment horizontal="general" vertical="bottom" textRotation="0" wrapText="false" indent="0" shrinkToFit="false"/>
      <protection locked="true" hidden="false"/>
    </xf>
    <xf numFmtId="164" fontId="18" fillId="5"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2" fillId="0" borderId="1" xfId="0" applyFont="true" applyBorder="true" applyAlignment="true" applyProtection="false">
      <alignment horizontal="general" vertical="bottom" textRotation="0" wrapText="false" indent="0" shrinkToFit="false"/>
      <protection locked="true" hidden="false"/>
    </xf>
    <xf numFmtId="171" fontId="23" fillId="4" borderId="1" xfId="0" applyFont="true" applyBorder="true" applyAlignment="true" applyProtection="false">
      <alignment horizontal="general" vertical="bottom" textRotation="0" wrapText="false" indent="0" shrinkToFit="false"/>
      <protection locked="true" hidden="false"/>
    </xf>
    <xf numFmtId="172" fontId="23" fillId="4" borderId="1" xfId="0" applyFont="true" applyBorder="true" applyAlignment="true" applyProtection="false">
      <alignment horizontal="general" vertical="bottom" textRotation="0" wrapText="false" indent="0" shrinkToFit="false"/>
      <protection locked="true" hidden="false"/>
    </xf>
    <xf numFmtId="165" fontId="23" fillId="4" borderId="1" xfId="0" applyFont="true" applyBorder="true" applyAlignment="true" applyProtection="false">
      <alignment horizontal="general" vertical="bottom" textRotation="0" wrapText="false" indent="0" shrinkToFit="false"/>
      <protection locked="true" hidden="false"/>
    </xf>
    <xf numFmtId="171" fontId="24" fillId="0" borderId="1" xfId="0" applyFont="true" applyBorder="true" applyAlignment="true" applyProtection="false">
      <alignment horizontal="general" vertical="bottom" textRotation="0" wrapText="false" indent="0" shrinkToFit="false"/>
      <protection locked="true" hidden="false"/>
    </xf>
    <xf numFmtId="169" fontId="15" fillId="4" borderId="1" xfId="0" applyFont="true" applyBorder="true" applyAlignment="true" applyProtection="false">
      <alignment horizontal="general" vertical="bottom" textRotation="0" wrapText="false" indent="0" shrinkToFit="false"/>
      <protection locked="true" hidden="false"/>
    </xf>
    <xf numFmtId="167" fontId="25" fillId="0"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7" fontId="24" fillId="0" borderId="1" xfId="0" applyFont="true" applyBorder="true" applyAlignment="true" applyProtection="false">
      <alignment horizontal="general" vertical="bottom" textRotation="0" wrapText="false" indent="0" shrinkToFit="false"/>
      <protection locked="true" hidden="false"/>
    </xf>
    <xf numFmtId="164" fontId="26" fillId="0" borderId="1" xfId="0" applyFont="true" applyBorder="true" applyAlignment="tru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general" vertical="bottom" textRotation="0" wrapText="false" indent="0" shrinkToFit="false"/>
      <protection locked="true" hidden="false"/>
    </xf>
    <xf numFmtId="164" fontId="22" fillId="5" borderId="1" xfId="0" applyFont="true" applyBorder="true" applyAlignment="true" applyProtection="false">
      <alignment horizontal="general" vertical="bottom" textRotation="0" wrapText="false" indent="0" shrinkToFit="false"/>
      <protection locked="true" hidden="false"/>
    </xf>
    <xf numFmtId="167" fontId="25" fillId="5" borderId="1" xfId="0" applyFont="true" applyBorder="true" applyAlignment="true" applyProtection="false">
      <alignment horizontal="general" vertical="bottom" textRotation="0" wrapText="false" indent="0" shrinkToFit="false"/>
      <protection locked="true" hidden="false"/>
    </xf>
    <xf numFmtId="164" fontId="27" fillId="5" borderId="1" xfId="0" applyFont="true" applyBorder="true" applyAlignment="true" applyProtection="false">
      <alignment horizontal="general" vertical="bottom" textRotation="0" wrapText="false" indent="0" shrinkToFit="false"/>
      <protection locked="true" hidden="false"/>
    </xf>
    <xf numFmtId="164" fontId="23" fillId="4" borderId="1" xfId="0" applyFont="true" applyBorder="true" applyAlignment="true" applyProtection="false">
      <alignment horizontal="general" vertical="bottom" textRotation="0" wrapText="false" indent="0" shrinkToFit="false"/>
      <protection locked="true" hidden="false"/>
    </xf>
    <xf numFmtId="172" fontId="15" fillId="0" borderId="1" xfId="0" applyFont="true" applyBorder="true" applyAlignment="true" applyProtection="false">
      <alignment horizontal="general" vertical="bottom" textRotation="0" wrapText="false" indent="0" shrinkToFit="false"/>
      <protection locked="true" hidden="false"/>
    </xf>
    <xf numFmtId="169" fontId="25" fillId="0" borderId="1" xfId="0" applyFont="true" applyBorder="true" applyAlignment="true" applyProtection="false">
      <alignment horizontal="general" vertical="bottom" textRotation="0" wrapText="false" indent="0" shrinkToFit="false"/>
      <protection locked="true" hidden="false"/>
    </xf>
    <xf numFmtId="172" fontId="16" fillId="0" borderId="1" xfId="0" applyFont="true" applyBorder="true" applyAlignment="true" applyProtection="false">
      <alignment horizontal="general" vertical="bottom" textRotation="0" wrapText="false" indent="0" shrinkToFit="false"/>
      <protection locked="true" hidden="false"/>
    </xf>
    <xf numFmtId="169" fontId="24" fillId="0" borderId="1" xfId="0" applyFont="true" applyBorder="true" applyAlignment="true" applyProtection="false">
      <alignment horizontal="general" vertical="bottom" textRotation="0" wrapText="false" indent="0" shrinkToFit="false"/>
      <protection locked="true" hidden="false"/>
    </xf>
    <xf numFmtId="173" fontId="25" fillId="0" borderId="1" xfId="0" applyFont="true" applyBorder="true" applyAlignment="true" applyProtection="false">
      <alignment horizontal="general" vertical="bottom" textRotation="0" wrapText="false" indent="0" shrinkToFit="false"/>
      <protection locked="true" hidden="false"/>
    </xf>
    <xf numFmtId="169" fontId="15" fillId="0"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72" fontId="9" fillId="4" borderId="1" xfId="0" applyFont="true" applyBorder="true" applyAlignment="true" applyProtection="false">
      <alignment horizontal="general" vertical="bottom" textRotation="0" wrapText="false" indent="0" shrinkToFit="false"/>
      <protection locked="true" hidden="false"/>
    </xf>
    <xf numFmtId="164" fontId="14" fillId="6" borderId="1" xfId="0" applyFont="true" applyBorder="true" applyAlignment="true" applyProtection="false">
      <alignment horizontal="general" vertical="bottom" textRotation="0" wrapText="false" indent="0" shrinkToFit="false"/>
      <protection locked="true" hidden="false"/>
    </xf>
    <xf numFmtId="164" fontId="25" fillId="6" borderId="1" xfId="0" applyFont="true" applyBorder="true" applyAlignment="true" applyProtection="false">
      <alignment horizontal="general" vertical="bottom" textRotation="0" wrapText="false" indent="0" shrinkToFit="false"/>
      <protection locked="true" hidden="false"/>
    </xf>
    <xf numFmtId="171" fontId="15" fillId="6" borderId="1" xfId="0" applyFont="true" applyBorder="true" applyAlignment="true" applyProtection="false">
      <alignment horizontal="general" vertical="bottom" textRotation="0" wrapText="false" indent="0" shrinkToFit="false"/>
      <protection locked="true" hidden="false"/>
    </xf>
    <xf numFmtId="171" fontId="16" fillId="6" borderId="1" xfId="0" applyFont="true" applyBorder="true" applyAlignment="true" applyProtection="false">
      <alignment horizontal="general" vertical="bottom" textRotation="0" wrapText="false" indent="0" shrinkToFit="false"/>
      <protection locked="true" hidden="false"/>
    </xf>
    <xf numFmtId="174" fontId="15" fillId="0" borderId="1" xfId="0" applyFont="true" applyBorder="true" applyAlignment="true" applyProtection="false">
      <alignment horizontal="general" vertical="bottom" textRotation="0" wrapText="false" indent="0" shrinkToFit="false"/>
      <protection locked="true" hidden="false"/>
    </xf>
    <xf numFmtId="174" fontId="15" fillId="5" borderId="1" xfId="0" applyFont="true" applyBorder="true" applyAlignment="true" applyProtection="false">
      <alignment horizontal="general" vertical="bottom" textRotation="0" wrapText="false" indent="0" shrinkToFit="false"/>
      <protection locked="true" hidden="false"/>
    </xf>
    <xf numFmtId="164" fontId="28" fillId="4" borderId="1" xfId="0" applyFont="true" applyBorder="true" applyAlignment="true" applyProtection="false">
      <alignment horizontal="general" vertical="bottom" textRotation="0" wrapText="false" indent="0" shrinkToFit="false"/>
      <protection locked="true" hidden="false"/>
    </xf>
    <xf numFmtId="172" fontId="22" fillId="0" borderId="1" xfId="0" applyFont="true" applyBorder="true" applyAlignment="true" applyProtection="false">
      <alignment horizontal="general" vertical="bottom" textRotation="0" wrapText="false" indent="0" shrinkToFit="false"/>
      <protection locked="true" hidden="false"/>
    </xf>
    <xf numFmtId="164" fontId="28" fillId="5" borderId="1" xfId="0" applyFont="true" applyBorder="true" applyAlignment="true" applyProtection="false">
      <alignment horizontal="general" vertical="bottom" textRotation="0" wrapText="false" indent="0" shrinkToFit="false"/>
      <protection locked="true" hidden="false"/>
    </xf>
    <xf numFmtId="172" fontId="22" fillId="5" borderId="1" xfId="0" applyFont="true" applyBorder="true" applyAlignment="true" applyProtection="false">
      <alignment horizontal="general" vertical="bottom" textRotation="0" wrapText="false" indent="0" shrinkToFit="false"/>
      <protection locked="true" hidden="false"/>
    </xf>
    <xf numFmtId="171" fontId="29" fillId="0" borderId="1" xfId="0" applyFont="true" applyBorder="true" applyAlignment="true" applyProtection="false">
      <alignment horizontal="general" vertical="bottom" textRotation="0" wrapText="false" indent="0" shrinkToFit="false"/>
      <protection locked="true" hidden="false"/>
    </xf>
    <xf numFmtId="167" fontId="29" fillId="0" borderId="1" xfId="0" applyFont="true" applyBorder="true" applyAlignment="true" applyProtection="false">
      <alignment horizontal="general" vertical="bottom" textRotation="0" wrapText="false" indent="0" shrinkToFit="false"/>
      <protection locked="true" hidden="false"/>
    </xf>
    <xf numFmtId="175" fontId="15" fillId="0" borderId="1" xfId="0" applyFont="true" applyBorder="true" applyAlignment="true" applyProtection="false">
      <alignment horizontal="general" vertical="bottom" textRotation="0" wrapText="false" indent="0" shrinkToFit="false"/>
      <protection locked="true" hidden="false"/>
    </xf>
    <xf numFmtId="164" fontId="24" fillId="0" borderId="1" xfId="0" applyFont="true" applyBorder="true" applyAlignment="true" applyProtection="false">
      <alignment horizontal="general" vertical="bottom" textRotation="0" wrapText="false" indent="0" shrinkToFit="false"/>
      <protection locked="true" hidden="false"/>
    </xf>
    <xf numFmtId="175" fontId="15" fillId="6" borderId="1" xfId="0" applyFont="true" applyBorder="true" applyAlignment="true" applyProtection="false">
      <alignment horizontal="general" vertical="bottom" textRotation="0" wrapText="false" indent="0" shrinkToFit="false"/>
      <protection locked="true" hidden="false"/>
    </xf>
    <xf numFmtId="171" fontId="24" fillId="6" borderId="1" xfId="0" applyFont="true" applyBorder="true" applyAlignment="true" applyProtection="false">
      <alignment horizontal="general" vertical="bottom" textRotation="0" wrapText="false" indent="0" shrinkToFit="false"/>
      <protection locked="true" hidden="false"/>
    </xf>
    <xf numFmtId="164" fontId="24" fillId="6" borderId="1" xfId="0" applyFont="true" applyBorder="true" applyAlignment="true" applyProtection="false">
      <alignment horizontal="general" vertical="bottom" textRotation="0" wrapText="false" indent="0" shrinkToFit="false"/>
      <protection locked="true" hidden="false"/>
    </xf>
    <xf numFmtId="172" fontId="30" fillId="0" borderId="1" xfId="0" applyFont="true" applyBorder="true" applyAlignment="true" applyProtection="false">
      <alignment horizontal="general" vertical="bottom" textRotation="0" wrapText="false" indent="0" shrinkToFit="false"/>
      <protection locked="true" hidden="false"/>
    </xf>
    <xf numFmtId="164" fontId="30" fillId="0" borderId="1" xfId="0" applyFont="true" applyBorder="true" applyAlignment="true" applyProtection="false">
      <alignment horizontal="general" vertical="bottom" textRotation="0" wrapText="false" indent="0" shrinkToFit="false"/>
      <protection locked="true" hidden="false"/>
    </xf>
    <xf numFmtId="171" fontId="30" fillId="0" borderId="1" xfId="0" applyFont="true" applyBorder="true" applyAlignment="true" applyProtection="false">
      <alignment horizontal="general" vertical="bottom" textRotation="0" wrapText="false" indent="0" shrinkToFit="false"/>
      <protection locked="true" hidden="false"/>
    </xf>
    <xf numFmtId="165" fontId="24" fillId="0" borderId="1"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6" fontId="16" fillId="0" borderId="1" xfId="0" applyFont="true" applyBorder="true" applyAlignment="true" applyProtection="false">
      <alignment horizontal="general" vertical="bottom" textRotation="0" wrapText="false" indent="0" shrinkToFit="false"/>
      <protection locked="true" hidden="false"/>
    </xf>
    <xf numFmtId="176" fontId="16" fillId="5" borderId="1" xfId="0" applyFont="true" applyBorder="true" applyAlignment="true" applyProtection="false">
      <alignment horizontal="general" vertical="bottom" textRotation="0" wrapText="false" indent="0" shrinkToFit="false"/>
      <protection locked="true" hidden="false"/>
    </xf>
    <xf numFmtId="168" fontId="15" fillId="5" borderId="1" xfId="0" applyFont="true" applyBorder="true" applyAlignment="true" applyProtection="false">
      <alignment horizontal="general" vertical="bottom" textRotation="0" wrapText="false" indent="0" shrinkToFit="false"/>
      <protection locked="true" hidden="false"/>
    </xf>
    <xf numFmtId="174" fontId="16" fillId="5" borderId="1" xfId="0" applyFont="true" applyBorder="true" applyAlignment="true" applyProtection="false">
      <alignment horizontal="general" vertical="bottom" textRotation="0" wrapText="false" indent="0" shrinkToFit="false"/>
      <protection locked="true" hidden="false"/>
    </xf>
    <xf numFmtId="168" fontId="15" fillId="0" borderId="1" xfId="0" applyFont="true" applyBorder="true" applyAlignment="true" applyProtection="false">
      <alignment horizontal="general" vertical="bottom" textRotation="0" wrapText="false" indent="0" shrinkToFit="false"/>
      <protection locked="true" hidden="false"/>
    </xf>
    <xf numFmtId="174" fontId="16" fillId="0" borderId="1" xfId="0" applyFont="true" applyBorder="true" applyAlignment="true" applyProtection="false">
      <alignment horizontal="general" vertical="bottom" textRotation="0" wrapText="false" indent="0" shrinkToFit="false"/>
      <protection locked="true" hidden="false"/>
    </xf>
    <xf numFmtId="171" fontId="25" fillId="0" borderId="1" xfId="0" applyFont="true" applyBorder="true" applyAlignment="true" applyProtection="false">
      <alignment horizontal="general" vertical="bottom" textRotation="0" wrapText="false" indent="0" shrinkToFit="false"/>
      <protection locked="true" hidden="false"/>
    </xf>
    <xf numFmtId="177" fontId="16" fillId="0" borderId="1" xfId="0" applyFont="true" applyBorder="true" applyAlignment="true" applyProtection="false">
      <alignment horizontal="general" vertical="bottom" textRotation="0" wrapText="false" indent="0" shrinkToFit="false"/>
      <protection locked="true" hidden="false"/>
    </xf>
    <xf numFmtId="171" fontId="25" fillId="5" borderId="1" xfId="0" applyFont="true" applyBorder="true" applyAlignment="true" applyProtection="false">
      <alignment horizontal="general" vertical="bottom" textRotation="0" wrapText="false" indent="0" shrinkToFit="false"/>
      <protection locked="true" hidden="false"/>
    </xf>
    <xf numFmtId="177" fontId="16" fillId="5" borderId="1" xfId="0" applyFont="true" applyBorder="true" applyAlignment="tru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75" fontId="16" fillId="0" borderId="1" xfId="0" applyFont="true" applyBorder="true" applyAlignment="true" applyProtection="false">
      <alignment horizontal="general" vertical="bottom" textRotation="0" wrapText="false" indent="0" shrinkToFit="false"/>
      <protection locked="true" hidden="false"/>
    </xf>
    <xf numFmtId="171" fontId="11"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1" fontId="14" fillId="0" borderId="1" xfId="0" applyFont="true" applyBorder="true" applyAlignment="true" applyProtection="false">
      <alignment horizontal="general" vertical="bottom" textRotation="0" wrapText="false" indent="0" shrinkToFit="false"/>
      <protection locked="true" hidden="false"/>
    </xf>
    <xf numFmtId="172" fontId="6" fillId="0" borderId="1" xfId="0" applyFont="true" applyBorder="true" applyAlignment="true" applyProtection="false">
      <alignment horizontal="general" vertical="bottom" textRotation="0" wrapText="false" indent="0" shrinkToFit="false"/>
      <protection locked="true" hidden="false"/>
    </xf>
    <xf numFmtId="171" fontId="6" fillId="0" borderId="1" xfId="0" applyFont="tru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5" fontId="16" fillId="0" borderId="1" xfId="0" applyFont="true" applyBorder="true" applyAlignment="true" applyProtection="false">
      <alignment horizontal="general" vertical="bottom" textRotation="0" wrapText="false" indent="0" shrinkToFit="false"/>
      <protection locked="true" hidden="false"/>
    </xf>
    <xf numFmtId="177" fontId="24" fillId="0" borderId="1" xfId="0" applyFont="true" applyBorder="true" applyAlignment="true" applyProtection="false">
      <alignment horizontal="general" vertical="bottom" textRotation="0" wrapText="false" indent="0" shrinkToFit="false"/>
      <protection locked="true" hidden="false"/>
    </xf>
    <xf numFmtId="167" fontId="16" fillId="0" borderId="1" xfId="0" applyFont="true" applyBorder="true" applyAlignment="true" applyProtection="false">
      <alignment horizontal="general" vertical="bottom" textRotation="0" wrapText="false" indent="0" shrinkToFit="false"/>
      <protection locked="true" hidden="false"/>
    </xf>
    <xf numFmtId="175" fontId="25" fillId="0" borderId="1" xfId="0" applyFont="true" applyBorder="true" applyAlignment="true" applyProtection="false">
      <alignment horizontal="general" vertical="bottom" textRotation="0" wrapText="false" indent="0" shrinkToFit="false"/>
      <protection locked="true" hidden="false"/>
    </xf>
    <xf numFmtId="171" fontId="28" fillId="4" borderId="1" xfId="0" applyFont="true" applyBorder="true" applyAlignment="true" applyProtection="false">
      <alignment horizontal="general" vertical="bottom" textRotation="0" wrapText="false" indent="0" shrinkToFit="false"/>
      <protection locked="true" hidden="false"/>
    </xf>
    <xf numFmtId="171" fontId="9" fillId="4" borderId="1" xfId="0" applyFont="true" applyBorder="true" applyAlignment="true" applyProtection="false">
      <alignment horizontal="general" vertical="bottom" textRotation="0" wrapText="false" indent="0" shrinkToFit="false"/>
      <protection locked="true" hidden="false"/>
    </xf>
    <xf numFmtId="172" fontId="25" fillId="0" borderId="1" xfId="0" applyFont="true" applyBorder="true" applyAlignment="true" applyProtection="false">
      <alignment horizontal="general" vertical="bottom" textRotation="0" wrapText="false" indent="0" shrinkToFit="false"/>
      <protection locked="true" hidden="false"/>
    </xf>
    <xf numFmtId="169" fontId="15" fillId="5" borderId="1" xfId="0" applyFont="true" applyBorder="true" applyAlignment="true" applyProtection="false">
      <alignment horizontal="general" vertical="bottom" textRotation="0" wrapText="false" indent="0" shrinkToFit="false"/>
      <protection locked="true" hidden="false"/>
    </xf>
    <xf numFmtId="172" fontId="25" fillId="5" borderId="1" xfId="0" applyFont="true" applyBorder="true" applyAlignment="true" applyProtection="false">
      <alignment horizontal="general" vertical="bottom" textRotation="0" wrapText="false" indent="0" shrinkToFit="false"/>
      <protection locked="true" hidden="false"/>
    </xf>
    <xf numFmtId="172" fontId="15" fillId="5"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BFBFBF"/>
      <rgbColor rgb="FF878787"/>
      <rgbColor rgb="FF9999FF"/>
      <rgbColor rgb="FF993366"/>
      <rgbColor rgb="FFF2F6FF"/>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DE8E8"/>
      <rgbColor rgb="FF99CCFF"/>
      <rgbColor rgb="FFFF99CC"/>
      <rgbColor rgb="FFCC99FF"/>
      <rgbColor rgb="FFFFCC99"/>
      <rgbColor rgb="FF2563EB"/>
      <rgbColor rgb="FF33CCCC"/>
      <rgbColor rgb="FF99CC00"/>
      <rgbColor rgb="FFFFCC00"/>
      <rgbColor rgb="FFFF9900"/>
      <rgbColor rgb="FFFF6600"/>
      <rgbColor rgb="FF666666"/>
      <rgbColor rgb="FF999999"/>
      <rgbColor rgb="FF003366"/>
      <rgbColor rgb="FF4A7EB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XP requis par niveau (aplatissement au soft cap)</a:t>
            </a:r>
          </a:p>
        </c:rich>
      </c:tx>
      <c:overlay val="0"/>
      <c:spPr>
        <a:noFill/>
        <a:ln w="0">
          <a:noFill/>
        </a:ln>
      </c:spPr>
    </c:title>
    <c:autoTitleDeleted val="0"/>
    <c:plotArea>
      <c:barChart>
        <c:barDir val="col"/>
        <c:grouping val="clustered"/>
        <c:varyColors val="0"/>
        <c:ser>
          <c:idx val="0"/>
          <c:order val="0"/>
          <c:tx>
            <c:strRef>
              <c:f>Progression!B4</c:f>
              <c:strCache>
                <c:ptCount val="1"/>
                <c:pt idx="0">
                  <c:v>XP requis
(du niv. precedent)</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Progression!$A$5:$A$54</c:f>
              <c:strCach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strCache>
            </c:strRef>
          </c:cat>
          <c:val>
            <c:numRef>
              <c:f>Progression!$B$5:$B$54</c:f>
              <c:numCache>
                <c:formatCode>#,##0</c:formatCode>
                <c:ptCount val="50"/>
                <c:pt idx="0">
                  <c:v>0</c:v>
                </c:pt>
                <c:pt idx="1">
                  <c:v>50</c:v>
                </c:pt>
                <c:pt idx="2">
                  <c:v>141</c:v>
                </c:pt>
                <c:pt idx="3">
                  <c:v>260</c:v>
                </c:pt>
                <c:pt idx="4">
                  <c:v>400</c:v>
                </c:pt>
                <c:pt idx="5">
                  <c:v>559</c:v>
                </c:pt>
                <c:pt idx="6">
                  <c:v>735</c:v>
                </c:pt>
                <c:pt idx="7">
                  <c:v>926</c:v>
                </c:pt>
                <c:pt idx="8">
                  <c:v>1131</c:v>
                </c:pt>
                <c:pt idx="9">
                  <c:v>1350</c:v>
                </c:pt>
                <c:pt idx="10">
                  <c:v>1581</c:v>
                </c:pt>
                <c:pt idx="11">
                  <c:v>1824</c:v>
                </c:pt>
                <c:pt idx="12">
                  <c:v>2078</c:v>
                </c:pt>
                <c:pt idx="13">
                  <c:v>2344</c:v>
                </c:pt>
                <c:pt idx="14">
                  <c:v>2619</c:v>
                </c:pt>
                <c:pt idx="15">
                  <c:v>2905</c:v>
                </c:pt>
                <c:pt idx="16">
                  <c:v>3200</c:v>
                </c:pt>
                <c:pt idx="17">
                  <c:v>3505</c:v>
                </c:pt>
                <c:pt idx="18">
                  <c:v>3818</c:v>
                </c:pt>
                <c:pt idx="19">
                  <c:v>4141</c:v>
                </c:pt>
                <c:pt idx="20">
                  <c:v>4472</c:v>
                </c:pt>
                <c:pt idx="21">
                  <c:v>4812</c:v>
                </c:pt>
                <c:pt idx="22">
                  <c:v>5159</c:v>
                </c:pt>
                <c:pt idx="23">
                  <c:v>5515</c:v>
                </c:pt>
                <c:pt idx="24">
                  <c:v>5879</c:v>
                </c:pt>
                <c:pt idx="25">
                  <c:v>6250</c:v>
                </c:pt>
                <c:pt idx="26">
                  <c:v>6450</c:v>
                </c:pt>
                <c:pt idx="27">
                  <c:v>6650</c:v>
                </c:pt>
                <c:pt idx="28">
                  <c:v>6850</c:v>
                </c:pt>
                <c:pt idx="29">
                  <c:v>7050</c:v>
                </c:pt>
                <c:pt idx="30">
                  <c:v>7250</c:v>
                </c:pt>
                <c:pt idx="31">
                  <c:v>7450</c:v>
                </c:pt>
                <c:pt idx="32">
                  <c:v>7650</c:v>
                </c:pt>
                <c:pt idx="33">
                  <c:v>7850</c:v>
                </c:pt>
                <c:pt idx="34">
                  <c:v>8050</c:v>
                </c:pt>
                <c:pt idx="35">
                  <c:v>8250</c:v>
                </c:pt>
                <c:pt idx="36">
                  <c:v>8450</c:v>
                </c:pt>
                <c:pt idx="37">
                  <c:v>8650</c:v>
                </c:pt>
                <c:pt idx="38">
                  <c:v>8850</c:v>
                </c:pt>
                <c:pt idx="39">
                  <c:v>9050</c:v>
                </c:pt>
                <c:pt idx="40">
                  <c:v>9250</c:v>
                </c:pt>
                <c:pt idx="41">
                  <c:v>9450</c:v>
                </c:pt>
                <c:pt idx="42">
                  <c:v>9650</c:v>
                </c:pt>
                <c:pt idx="43">
                  <c:v>9850</c:v>
                </c:pt>
                <c:pt idx="44">
                  <c:v>10050</c:v>
                </c:pt>
                <c:pt idx="45">
                  <c:v>10250</c:v>
                </c:pt>
                <c:pt idx="46">
                  <c:v>10450</c:v>
                </c:pt>
                <c:pt idx="47">
                  <c:v>10650</c:v>
                </c:pt>
                <c:pt idx="48">
                  <c:v>10850</c:v>
                </c:pt>
                <c:pt idx="49">
                  <c:v>11050</c:v>
                </c:pt>
              </c:numCache>
            </c:numRef>
          </c:val>
        </c:ser>
        <c:gapWidth val="150"/>
        <c:overlap val="0"/>
        <c:axId val="87034853"/>
        <c:axId val="70999295"/>
      </c:barChart>
      <c:catAx>
        <c:axId val="8703485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Niveau</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999295"/>
        <c:crosses val="autoZero"/>
        <c:auto val="1"/>
        <c:lblAlgn val="ctr"/>
        <c:lblOffset val="100"/>
        <c:noMultiLvlLbl val="0"/>
      </c:catAx>
      <c:valAx>
        <c:axId val="7099929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XP</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03485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Niveau atteint — annee 1</a:t>
            </a:r>
          </a:p>
        </c:rich>
      </c:tx>
      <c:overlay val="0"/>
      <c:spPr>
        <a:noFill/>
        <a:ln w="0">
          <a:noFill/>
        </a:ln>
      </c:spPr>
    </c:title>
    <c:autoTitleDeleted val="0"/>
    <c:plotArea>
      <c:lineChart>
        <c:grouping val="standard"/>
        <c:varyColors val="0"/>
        <c:ser>
          <c:idx val="0"/>
          <c:order val="0"/>
          <c:tx>
            <c:strRef>
              <c:f>'Sim 52 semaines'!G12</c:f>
              <c:strCache>
                <c:ptCount val="1"/>
                <c:pt idx="0">
                  <c:v>Niveau</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'Sim 52 semaines'!$A$13:$A$64</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'Sim 52 semaines'!$G$13:$G$64</c:f>
              <c:numCache>
                <c:formatCode>0</c:formatCode>
                <c:ptCount val="52"/>
                <c:pt idx="0">
                  <c:v>4</c:v>
                </c:pt>
                <c:pt idx="1">
                  <c:v>5</c:v>
                </c:pt>
                <c:pt idx="2">
                  <c:v>6</c:v>
                </c:pt>
                <c:pt idx="3">
                  <c:v>7</c:v>
                </c:pt>
                <c:pt idx="4">
                  <c:v>8</c:v>
                </c:pt>
                <c:pt idx="5">
                  <c:v>9</c:v>
                </c:pt>
                <c:pt idx="6">
                  <c:v>9</c:v>
                </c:pt>
                <c:pt idx="7">
                  <c:v>10</c:v>
                </c:pt>
                <c:pt idx="8">
                  <c:v>10</c:v>
                </c:pt>
                <c:pt idx="9">
                  <c:v>11</c:v>
                </c:pt>
                <c:pt idx="10">
                  <c:v>11</c:v>
                </c:pt>
                <c:pt idx="11">
                  <c:v>12</c:v>
                </c:pt>
                <c:pt idx="12">
                  <c:v>12</c:v>
                </c:pt>
                <c:pt idx="13">
                  <c:v>13</c:v>
                </c:pt>
                <c:pt idx="14">
                  <c:v>13</c:v>
                </c:pt>
                <c:pt idx="15">
                  <c:v>13</c:v>
                </c:pt>
                <c:pt idx="16">
                  <c:v>14</c:v>
                </c:pt>
                <c:pt idx="17">
                  <c:v>14</c:v>
                </c:pt>
                <c:pt idx="18">
                  <c:v>14</c:v>
                </c:pt>
                <c:pt idx="19">
                  <c:v>15</c:v>
                </c:pt>
                <c:pt idx="20">
                  <c:v>15</c:v>
                </c:pt>
                <c:pt idx="21">
                  <c:v>15</c:v>
                </c:pt>
                <c:pt idx="22">
                  <c:v>16</c:v>
                </c:pt>
                <c:pt idx="23">
                  <c:v>16</c:v>
                </c:pt>
                <c:pt idx="24">
                  <c:v>16</c:v>
                </c:pt>
                <c:pt idx="25">
                  <c:v>16</c:v>
                </c:pt>
                <c:pt idx="26">
                  <c:v>17</c:v>
                </c:pt>
                <c:pt idx="27">
                  <c:v>17</c:v>
                </c:pt>
                <c:pt idx="28">
                  <c:v>17</c:v>
                </c:pt>
                <c:pt idx="29">
                  <c:v>18</c:v>
                </c:pt>
                <c:pt idx="30">
                  <c:v>18</c:v>
                </c:pt>
                <c:pt idx="31">
                  <c:v>18</c:v>
                </c:pt>
                <c:pt idx="32">
                  <c:v>18</c:v>
                </c:pt>
                <c:pt idx="33">
                  <c:v>19</c:v>
                </c:pt>
                <c:pt idx="34">
                  <c:v>19</c:v>
                </c:pt>
                <c:pt idx="35">
                  <c:v>19</c:v>
                </c:pt>
                <c:pt idx="36">
                  <c:v>19</c:v>
                </c:pt>
                <c:pt idx="37">
                  <c:v>20</c:v>
                </c:pt>
                <c:pt idx="38">
                  <c:v>20</c:v>
                </c:pt>
                <c:pt idx="39">
                  <c:v>20</c:v>
                </c:pt>
                <c:pt idx="40">
                  <c:v>20</c:v>
                </c:pt>
                <c:pt idx="41">
                  <c:v>20</c:v>
                </c:pt>
                <c:pt idx="42">
                  <c:v>21</c:v>
                </c:pt>
                <c:pt idx="43">
                  <c:v>21</c:v>
                </c:pt>
                <c:pt idx="44">
                  <c:v>21</c:v>
                </c:pt>
                <c:pt idx="45">
                  <c:v>21</c:v>
                </c:pt>
                <c:pt idx="46">
                  <c:v>21</c:v>
                </c:pt>
                <c:pt idx="47">
                  <c:v>22</c:v>
                </c:pt>
                <c:pt idx="48">
                  <c:v>22</c:v>
                </c:pt>
                <c:pt idx="49">
                  <c:v>22</c:v>
                </c:pt>
                <c:pt idx="50">
                  <c:v>22</c:v>
                </c:pt>
                <c:pt idx="51">
                  <c:v>23</c:v>
                </c:pt>
              </c:numCache>
            </c:numRef>
          </c:val>
          <c:smooth val="1"/>
        </c:ser>
        <c:hiLowLines>
          <c:spPr>
            <a:ln w="0">
              <a:noFill/>
            </a:ln>
          </c:spPr>
        </c:hiLowLines>
        <c:marker val="0"/>
        <c:axId val="86473489"/>
        <c:axId val="94045200"/>
      </c:lineChart>
      <c:catAx>
        <c:axId val="8647348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Semaine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045200"/>
        <c:crosses val="autoZero"/>
        <c:auto val="1"/>
        <c:lblAlgn val="ctr"/>
        <c:lblOffset val="100"/>
        <c:noMultiLvlLbl val="0"/>
      </c:catAx>
      <c:valAx>
        <c:axId val="9404520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Niveau</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47348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2</xdr:row>
      <xdr:rowOff>160920</xdr:rowOff>
    </xdr:from>
    <xdr:to>
      <xdr:col>25</xdr:col>
      <xdr:colOff>468720</xdr:colOff>
      <xdr:row>16</xdr:row>
      <xdr:rowOff>142920</xdr:rowOff>
    </xdr:to>
    <xdr:graphicFrame>
      <xdr:nvGraphicFramePr>
        <xdr:cNvPr id="0" name="Chart 1"/>
        <xdr:cNvGraphicFramePr/>
      </xdr:nvGraphicFramePr>
      <xdr:xfrm>
        <a:off x="11677680" y="570600"/>
        <a:ext cx="7195320" cy="2868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2</xdr:row>
      <xdr:rowOff>160920</xdr:rowOff>
    </xdr:from>
    <xdr:to>
      <xdr:col>23</xdr:col>
      <xdr:colOff>360360</xdr:colOff>
      <xdr:row>17</xdr:row>
      <xdr:rowOff>85320</xdr:rowOff>
    </xdr:to>
    <xdr:graphicFrame>
      <xdr:nvGraphicFramePr>
        <xdr:cNvPr id="1" name="Chart 1"/>
        <xdr:cNvGraphicFramePr/>
      </xdr:nvGraphicFramePr>
      <xdr:xfrm>
        <a:off x="11043360" y="570600"/>
        <a:ext cx="6475320" cy="2867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1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86"/>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c r="B4" s="5"/>
    </row>
    <row r="5" customFormat="false" ht="15" hidden="false" customHeight="true" outlineLevel="0" collapsed="false">
      <c r="A5" s="6" t="s">
        <v>2</v>
      </c>
    </row>
    <row r="6" customFormat="false" ht="15" hidden="false" customHeight="true" outlineLevel="0" collapsed="false">
      <c r="A6" s="4" t="s">
        <v>3</v>
      </c>
      <c r="B6" s="5" t="s">
        <v>4</v>
      </c>
    </row>
    <row r="7" customFormat="false" ht="15" hidden="false" customHeight="true" outlineLevel="0" collapsed="false">
      <c r="A7" s="4" t="s">
        <v>5</v>
      </c>
      <c r="B7" s="5" t="s">
        <v>6</v>
      </c>
    </row>
    <row r="8" customFormat="false" ht="15" hidden="false" customHeight="true" outlineLevel="0" collapsed="false">
      <c r="A8" s="4" t="s">
        <v>7</v>
      </c>
      <c r="B8" s="5" t="s">
        <v>8</v>
      </c>
    </row>
    <row r="9" customFormat="false" ht="15" hidden="false" customHeight="true" outlineLevel="0" collapsed="false">
      <c r="A9" s="4" t="s">
        <v>9</v>
      </c>
      <c r="B9" s="5" t="s">
        <v>10</v>
      </c>
    </row>
    <row r="10" customFormat="false" ht="15" hidden="false" customHeight="true" outlineLevel="0" collapsed="false">
      <c r="A10" s="4" t="s">
        <v>11</v>
      </c>
      <c r="B10" s="5" t="s">
        <v>12</v>
      </c>
    </row>
    <row r="11" customFormat="false" ht="15" hidden="false" customHeight="true" outlineLevel="0" collapsed="false">
      <c r="A11" s="4"/>
      <c r="B11" s="5"/>
    </row>
    <row r="12" customFormat="false" ht="15" hidden="false" customHeight="true" outlineLevel="0" collapsed="false">
      <c r="A12" s="6" t="s">
        <v>13</v>
      </c>
    </row>
    <row r="13" customFormat="false" ht="15" hidden="false" customHeight="true" outlineLevel="0" collapsed="false">
      <c r="A13" s="4" t="s">
        <v>14</v>
      </c>
      <c r="B13" s="5" t="s">
        <v>15</v>
      </c>
    </row>
    <row r="14" customFormat="false" ht="15" hidden="false" customHeight="true" outlineLevel="0" collapsed="false">
      <c r="A14" s="4" t="s">
        <v>16</v>
      </c>
      <c r="B14" s="5" t="s">
        <v>17</v>
      </c>
    </row>
    <row r="15" customFormat="false" ht="15" hidden="false" customHeight="true" outlineLevel="0" collapsed="false">
      <c r="A15" s="4" t="s">
        <v>18</v>
      </c>
      <c r="B15" s="5" t="s">
        <v>19</v>
      </c>
    </row>
    <row r="16" customFormat="false" ht="15" hidden="false" customHeight="true" outlineLevel="0" collapsed="false">
      <c r="A16" s="4"/>
      <c r="B16" s="5"/>
    </row>
    <row r="17" customFormat="false" ht="15" hidden="false" customHeight="true" outlineLevel="0" collapsed="false">
      <c r="A17" s="6" t="s">
        <v>20</v>
      </c>
    </row>
    <row r="18" customFormat="false" ht="15" hidden="false" customHeight="true" outlineLevel="0" collapsed="false">
      <c r="A18" s="4" t="s">
        <v>21</v>
      </c>
      <c r="B18" s="5" t="s">
        <v>22</v>
      </c>
    </row>
    <row r="19" customFormat="false" ht="15" hidden="false" customHeight="true" outlineLevel="0" collapsed="false">
      <c r="A19" s="4" t="s">
        <v>23</v>
      </c>
      <c r="B19" s="5" t="s">
        <v>24</v>
      </c>
    </row>
    <row r="20" customFormat="false" ht="15" hidden="false" customHeight="true" outlineLevel="0" collapsed="false">
      <c r="A20" s="4" t="s">
        <v>25</v>
      </c>
      <c r="B20" s="5" t="s">
        <v>26</v>
      </c>
    </row>
    <row r="21" customFormat="false" ht="15" hidden="false" customHeight="true" outlineLevel="0" collapsed="false">
      <c r="A21" s="4" t="s">
        <v>27</v>
      </c>
      <c r="B21" s="5" t="s">
        <v>28</v>
      </c>
    </row>
    <row r="22" customFormat="false" ht="15" hidden="false" customHeight="true" outlineLevel="0" collapsed="false">
      <c r="A22" s="4" t="s">
        <v>29</v>
      </c>
      <c r="B22" s="5" t="s">
        <v>30</v>
      </c>
    </row>
    <row r="23" customFormat="false" ht="15" hidden="false" customHeight="true" outlineLevel="0" collapsed="false">
      <c r="A23" s="4" t="s">
        <v>31</v>
      </c>
      <c r="B23" s="5" t="s">
        <v>32</v>
      </c>
    </row>
    <row r="24" customFormat="false" ht="15" hidden="false" customHeight="true" outlineLevel="0" collapsed="false">
      <c r="A24" s="4" t="s">
        <v>33</v>
      </c>
      <c r="B24" s="5" t="s">
        <v>34</v>
      </c>
    </row>
    <row r="25" customFormat="false" ht="15" hidden="false" customHeight="true" outlineLevel="0" collapsed="false">
      <c r="A25" s="4" t="s">
        <v>35</v>
      </c>
      <c r="B25" s="5" t="s">
        <v>36</v>
      </c>
    </row>
    <row r="26" customFormat="false" ht="15" hidden="false" customHeight="true" outlineLevel="0" collapsed="false">
      <c r="A26" s="4" t="s">
        <v>37</v>
      </c>
      <c r="B26" s="5" t="s">
        <v>38</v>
      </c>
    </row>
    <row r="27" customFormat="false" ht="15" hidden="false" customHeight="true" outlineLevel="0" collapsed="false">
      <c r="A27" s="4" t="s">
        <v>39</v>
      </c>
      <c r="B27" s="5" t="s">
        <v>40</v>
      </c>
    </row>
    <row r="28" customFormat="false" ht="15" hidden="false" customHeight="true" outlineLevel="0" collapsed="false">
      <c r="A28" s="4"/>
      <c r="B28" s="5"/>
    </row>
    <row r="29" customFormat="false" ht="15" hidden="false" customHeight="true" outlineLevel="0" collapsed="false">
      <c r="A29" s="6" t="s">
        <v>41</v>
      </c>
    </row>
    <row r="30" customFormat="false" ht="15" hidden="false" customHeight="true" outlineLevel="0" collapsed="false">
      <c r="A30" s="4" t="s">
        <v>42</v>
      </c>
      <c r="B30" s="5" t="s">
        <v>43</v>
      </c>
    </row>
    <row r="31" customFormat="false" ht="15" hidden="false" customHeight="true" outlineLevel="0" collapsed="false">
      <c r="A31" s="4" t="s">
        <v>44</v>
      </c>
      <c r="B31" s="5" t="s">
        <v>45</v>
      </c>
    </row>
    <row r="32" customFormat="false" ht="15" hidden="false" customHeight="true" outlineLevel="0" collapsed="false">
      <c r="A32" s="4" t="s">
        <v>46</v>
      </c>
      <c r="B32" s="5" t="s">
        <v>47</v>
      </c>
    </row>
    <row r="33" customFormat="false" ht="15" hidden="false" customHeight="true" outlineLevel="0" collapsed="false">
      <c r="A33" s="4" t="s">
        <v>48</v>
      </c>
      <c r="B33" s="5" t="s">
        <v>49</v>
      </c>
    </row>
    <row r="34" customFormat="false" ht="15" hidden="false" customHeight="true" outlineLevel="0" collapsed="false">
      <c r="A34" s="4" t="s">
        <v>50</v>
      </c>
      <c r="B34" s="5" t="s">
        <v>51</v>
      </c>
    </row>
    <row r="35" customFormat="false" ht="15" hidden="false" customHeight="true" outlineLevel="0" collapsed="false">
      <c r="A35" s="4" t="s">
        <v>52</v>
      </c>
      <c r="B35" s="5" t="s">
        <v>53</v>
      </c>
    </row>
    <row r="36" customFormat="false" ht="15" hidden="false" customHeight="true" outlineLevel="0" collapsed="false">
      <c r="A36" s="4" t="s">
        <v>54</v>
      </c>
      <c r="B36" s="5" t="s">
        <v>55</v>
      </c>
    </row>
    <row r="37" customFormat="false" ht="15" hidden="false" customHeight="true" outlineLevel="0" collapsed="false">
      <c r="A37" s="4" t="s">
        <v>56</v>
      </c>
      <c r="B37" s="5" t="s">
        <v>57</v>
      </c>
    </row>
    <row r="38" customFormat="false" ht="15" hidden="false" customHeight="true" outlineLevel="0" collapsed="false">
      <c r="A38" s="4"/>
      <c r="B38" s="5"/>
    </row>
    <row r="39" customFormat="false" ht="15" hidden="false" customHeight="true" outlineLevel="0" collapsed="false">
      <c r="A39" s="6" t="s">
        <v>58</v>
      </c>
    </row>
    <row r="40" customFormat="false" ht="15" hidden="false" customHeight="true" outlineLevel="0" collapsed="false">
      <c r="A40" s="4" t="s">
        <v>59</v>
      </c>
      <c r="B40" s="5" t="s">
        <v>60</v>
      </c>
    </row>
    <row r="42" customFormat="false" ht="15" hidden="false" customHeight="true" outlineLevel="0" collapsed="false">
      <c r="A42" s="6" t="s">
        <v>61</v>
      </c>
    </row>
    <row r="43" customFormat="false" ht="15" hidden="false" customHeight="true" outlineLevel="0" collapsed="false">
      <c r="A43" s="4" t="s">
        <v>62</v>
      </c>
      <c r="B43" s="5" t="s">
        <v>63</v>
      </c>
    </row>
    <row r="44" customFormat="false" ht="15" hidden="false" customHeight="true" outlineLevel="0" collapsed="false">
      <c r="A44" s="4" t="s">
        <v>64</v>
      </c>
      <c r="B44" s="5" t="s">
        <v>65</v>
      </c>
    </row>
    <row r="45" customFormat="false" ht="15" hidden="false" customHeight="true" outlineLevel="0" collapsed="false">
      <c r="A45" s="4" t="s">
        <v>66</v>
      </c>
      <c r="B45" s="5" t="s">
        <v>67</v>
      </c>
    </row>
    <row r="46" customFormat="false" ht="15" hidden="false" customHeight="true" outlineLevel="0" collapsed="false">
      <c r="A46" s="4" t="s">
        <v>68</v>
      </c>
      <c r="B46" s="5" t="s">
        <v>69</v>
      </c>
    </row>
    <row r="47" customFormat="false" ht="15" hidden="false" customHeight="true" outlineLevel="0" collapsed="false">
      <c r="A47" s="4" t="s">
        <v>70</v>
      </c>
      <c r="B47" s="5" t="s">
        <v>71</v>
      </c>
    </row>
    <row r="48" customFormat="false" ht="15" hidden="false" customHeight="true" outlineLevel="0" collapsed="false">
      <c r="A48" s="4" t="s">
        <v>72</v>
      </c>
      <c r="B48" s="5" t="s">
        <v>73</v>
      </c>
    </row>
    <row r="49" customFormat="false" ht="15" hidden="false" customHeight="true" outlineLevel="0" collapsed="false">
      <c r="A49" s="4" t="s">
        <v>74</v>
      </c>
      <c r="B49" s="5" t="s">
        <v>75</v>
      </c>
    </row>
    <row r="50" customFormat="false" ht="15" hidden="false" customHeight="true" outlineLevel="0" collapsed="false">
      <c r="A50" s="4" t="s">
        <v>76</v>
      </c>
      <c r="B50" s="5" t="s">
        <v>77</v>
      </c>
    </row>
    <row r="51" customFormat="false" ht="15" hidden="false" customHeight="true" outlineLevel="0" collapsed="false">
      <c r="A51" s="4" t="s">
        <v>78</v>
      </c>
      <c r="B51" s="5" t="s">
        <v>79</v>
      </c>
    </row>
    <row r="52" customFormat="false" ht="15" hidden="false" customHeight="true" outlineLevel="0" collapsed="false">
      <c r="A52" s="4" t="s">
        <v>80</v>
      </c>
      <c r="B52" s="5" t="s">
        <v>81</v>
      </c>
    </row>
    <row r="53" customFormat="false" ht="15" hidden="false" customHeight="true" outlineLevel="0" collapsed="false">
      <c r="A53" s="4" t="s">
        <v>82</v>
      </c>
      <c r="B53" s="5" t="s">
        <v>83</v>
      </c>
    </row>
    <row r="54" customFormat="false" ht="15" hidden="false" customHeight="true" outlineLevel="0" collapsed="false">
      <c r="A54" s="4"/>
      <c r="B54" s="5"/>
    </row>
    <row r="55" customFormat="false" ht="15" hidden="false" customHeight="true" outlineLevel="0" collapsed="false">
      <c r="A55" s="6" t="s">
        <v>84</v>
      </c>
    </row>
    <row r="56" customFormat="false" ht="15" hidden="false" customHeight="true" outlineLevel="0" collapsed="false">
      <c r="A56" s="4" t="s">
        <v>85</v>
      </c>
      <c r="B56" s="5" t="s">
        <v>86</v>
      </c>
    </row>
    <row r="57" customFormat="false" ht="15" hidden="false" customHeight="true" outlineLevel="0" collapsed="false">
      <c r="A57" s="4" t="s">
        <v>87</v>
      </c>
      <c r="B57" s="5" t="s">
        <v>88</v>
      </c>
    </row>
    <row r="58" customFormat="false" ht="15" hidden="false" customHeight="true" outlineLevel="0" collapsed="false">
      <c r="A58" s="4" t="s">
        <v>89</v>
      </c>
      <c r="B58" s="5" t="s">
        <v>90</v>
      </c>
    </row>
    <row r="59" customFormat="false" ht="15" hidden="false" customHeight="true" outlineLevel="0" collapsed="false">
      <c r="A59" s="4" t="s">
        <v>91</v>
      </c>
      <c r="B59" s="5"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3" min="3" style="1" width="9"/>
    <col collapsed="false" customWidth="true" hidden="false" outlineLevel="0" max="4" min="4" style="1" width="66"/>
  </cols>
  <sheetData>
    <row r="1" customFormat="false" ht="17.25" hidden="false" customHeight="true" outlineLevel="0" collapsed="false">
      <c r="A1" s="2" t="s">
        <v>93</v>
      </c>
    </row>
    <row r="2" customFormat="false" ht="15" hidden="false" customHeight="true" outlineLevel="0" collapsed="false">
      <c r="A2" s="3" t="s">
        <v>94</v>
      </c>
    </row>
    <row r="4" customFormat="false" ht="15" hidden="false" customHeight="true" outlineLevel="0" collapsed="false">
      <c r="A4" s="6" t="s">
        <v>95</v>
      </c>
    </row>
    <row r="5" customFormat="false" ht="15" hidden="false" customHeight="true" outlineLevel="0" collapsed="false">
      <c r="A5" s="5" t="s">
        <v>96</v>
      </c>
      <c r="B5" s="7" t="n">
        <v>50</v>
      </c>
      <c r="C5" s="3" t="s">
        <v>97</v>
      </c>
      <c r="D5" s="8" t="s">
        <v>98</v>
      </c>
    </row>
    <row r="6" customFormat="false" ht="15" hidden="false" customHeight="true" outlineLevel="0" collapsed="false">
      <c r="A6" s="5" t="s">
        <v>99</v>
      </c>
      <c r="B6" s="7" t="n">
        <v>200</v>
      </c>
      <c r="C6" s="3" t="s">
        <v>100</v>
      </c>
      <c r="D6" s="8" t="s">
        <v>101</v>
      </c>
    </row>
    <row r="7" customFormat="false" ht="15" hidden="false" customHeight="true" outlineLevel="0" collapsed="false">
      <c r="A7" s="5" t="s">
        <v>102</v>
      </c>
      <c r="B7" s="7" t="n">
        <v>25</v>
      </c>
      <c r="C7" s="3" t="s">
        <v>97</v>
      </c>
      <c r="D7" s="8" t="s">
        <v>103</v>
      </c>
    </row>
    <row r="8" customFormat="false" ht="15" hidden="false" customHeight="true" outlineLevel="0" collapsed="false">
      <c r="A8" s="5" t="s">
        <v>104</v>
      </c>
      <c r="B8" s="7" t="n">
        <v>50</v>
      </c>
      <c r="C8" s="3"/>
      <c r="D8" s="8" t="s">
        <v>105</v>
      </c>
    </row>
    <row r="9" customFormat="false" ht="15" hidden="false" customHeight="true" outlineLevel="0" collapsed="false">
      <c r="A9" s="5" t="s">
        <v>106</v>
      </c>
      <c r="B9" s="9" t="n">
        <v>1.5</v>
      </c>
      <c r="C9" s="3"/>
      <c r="D9" s="8" t="s">
        <v>107</v>
      </c>
    </row>
    <row r="10" customFormat="false" ht="15" hidden="false" customHeight="true" outlineLevel="0" collapsed="false">
      <c r="A10" s="5" t="s">
        <v>108</v>
      </c>
      <c r="B10" s="7" t="n">
        <v>25</v>
      </c>
      <c r="C10" s="3" t="s">
        <v>109</v>
      </c>
      <c r="D10" s="8" t="s">
        <v>110</v>
      </c>
    </row>
    <row r="11" customFormat="false" ht="15" hidden="false" customHeight="true" outlineLevel="0" collapsed="false">
      <c r="A11" s="5" t="s">
        <v>111</v>
      </c>
      <c r="B11" s="7" t="n">
        <v>200</v>
      </c>
      <c r="C11" s="3" t="s">
        <v>97</v>
      </c>
      <c r="D11" s="8" t="s">
        <v>112</v>
      </c>
    </row>
    <row r="12" customFormat="false" ht="15" hidden="false" customHeight="true" outlineLevel="0" collapsed="false">
      <c r="A12" s="5" t="s">
        <v>113</v>
      </c>
      <c r="B12" s="7" t="n">
        <v>50</v>
      </c>
      <c r="C12" s="3" t="s">
        <v>109</v>
      </c>
      <c r="D12" s="8" t="s">
        <v>114</v>
      </c>
    </row>
    <row r="14" customFormat="false" ht="15" hidden="false" customHeight="true" outlineLevel="0" collapsed="false">
      <c r="A14" s="6" t="s">
        <v>115</v>
      </c>
    </row>
    <row r="15" customFormat="false" ht="15" hidden="false" customHeight="true" outlineLevel="0" collapsed="false">
      <c r="A15" s="5" t="s">
        <v>116</v>
      </c>
      <c r="B15" s="7" t="n">
        <v>100</v>
      </c>
      <c r="C15" s="3" t="s">
        <v>117</v>
      </c>
      <c r="D15" s="8" t="s">
        <v>118</v>
      </c>
    </row>
    <row r="16" customFormat="false" ht="15" hidden="false" customHeight="true" outlineLevel="0" collapsed="false">
      <c r="A16" s="5" t="s">
        <v>119</v>
      </c>
      <c r="B16" s="7" t="n">
        <v>35</v>
      </c>
      <c r="C16" s="3" t="s">
        <v>117</v>
      </c>
      <c r="D16" s="8" t="s">
        <v>120</v>
      </c>
    </row>
    <row r="17" customFormat="false" ht="15" hidden="false" customHeight="true" outlineLevel="0" collapsed="false">
      <c r="A17" s="5" t="s">
        <v>121</v>
      </c>
      <c r="B17" s="7" t="n">
        <v>10</v>
      </c>
      <c r="C17" s="3" t="s">
        <v>122</v>
      </c>
      <c r="D17" s="8"/>
    </row>
    <row r="18" customFormat="false" ht="15" hidden="false" customHeight="true" outlineLevel="0" collapsed="false">
      <c r="A18" s="5" t="s">
        <v>123</v>
      </c>
      <c r="B18" s="7" t="n">
        <v>6</v>
      </c>
      <c r="C18" s="3" t="s">
        <v>122</v>
      </c>
      <c r="D18" s="8" t="s">
        <v>124</v>
      </c>
    </row>
    <row r="19" customFormat="false" ht="15" hidden="false" customHeight="true" outlineLevel="0" collapsed="false">
      <c r="A19" s="5" t="s">
        <v>125</v>
      </c>
      <c r="B19" s="7" t="n">
        <v>5</v>
      </c>
      <c r="C19" s="3" t="s">
        <v>126</v>
      </c>
      <c r="D19" s="8"/>
    </row>
    <row r="20" customFormat="false" ht="15" hidden="false" customHeight="true" outlineLevel="0" collapsed="false">
      <c r="A20" s="5" t="s">
        <v>127</v>
      </c>
      <c r="B20" s="10" t="n">
        <v>2.5</v>
      </c>
      <c r="C20" s="3" t="s">
        <v>126</v>
      </c>
      <c r="D20" s="8"/>
    </row>
    <row r="21" customFormat="false" ht="15" hidden="false" customHeight="true" outlineLevel="0" collapsed="false">
      <c r="A21" s="5" t="s">
        <v>128</v>
      </c>
      <c r="B21" s="11" t="n">
        <v>0.05</v>
      </c>
      <c r="C21" s="3" t="s">
        <v>129</v>
      </c>
      <c r="D21" s="8" t="s">
        <v>130</v>
      </c>
    </row>
    <row r="22" customFormat="false" ht="15" hidden="false" customHeight="true" outlineLevel="0" collapsed="false">
      <c r="A22" s="5" t="s">
        <v>131</v>
      </c>
      <c r="B22" s="11" t="n">
        <v>0.15</v>
      </c>
      <c r="C22" s="3" t="s">
        <v>129</v>
      </c>
      <c r="D22" s="8" t="s">
        <v>132</v>
      </c>
    </row>
    <row r="23" customFormat="false" ht="15" hidden="false" customHeight="true" outlineLevel="0" collapsed="false">
      <c r="A23" s="5" t="s">
        <v>133</v>
      </c>
      <c r="B23" s="7" t="n">
        <v>20</v>
      </c>
      <c r="C23" s="3"/>
      <c r="D23" s="8" t="s">
        <v>134</v>
      </c>
    </row>
    <row r="24" customFormat="false" ht="15" hidden="false" customHeight="true" outlineLevel="0" collapsed="false">
      <c r="A24" s="5" t="s">
        <v>135</v>
      </c>
      <c r="B24" s="9" t="n">
        <v>1.75</v>
      </c>
      <c r="C24" s="3" t="s">
        <v>136</v>
      </c>
      <c r="D24" s="8"/>
    </row>
    <row r="25" customFormat="false" ht="15" hidden="false" customHeight="true" outlineLevel="0" collapsed="false">
      <c r="A25" s="5" t="s">
        <v>137</v>
      </c>
      <c r="B25" s="7" t="n">
        <v>80</v>
      </c>
      <c r="C25" s="3"/>
      <c r="D25" s="8" t="s">
        <v>138</v>
      </c>
    </row>
    <row r="26" customFormat="false" ht="15" hidden="false" customHeight="true" outlineLevel="0" collapsed="false">
      <c r="A26" s="5" t="s">
        <v>139</v>
      </c>
      <c r="B26" s="12" t="n">
        <v>0.25</v>
      </c>
      <c r="C26" s="3" t="s">
        <v>140</v>
      </c>
      <c r="D26" s="8" t="s">
        <v>141</v>
      </c>
    </row>
    <row r="27" customFormat="false" ht="15" hidden="false" customHeight="true" outlineLevel="0" collapsed="false">
      <c r="A27" s="6" t="s">
        <v>142</v>
      </c>
    </row>
    <row r="28" customFormat="false" ht="15" hidden="false" customHeight="true" outlineLevel="0" collapsed="false">
      <c r="A28" s="5" t="s">
        <v>143</v>
      </c>
      <c r="B28" s="11" t="n">
        <v>0.05</v>
      </c>
      <c r="C28" s="3" t="s">
        <v>129</v>
      </c>
      <c r="D28" s="8" t="s">
        <v>144</v>
      </c>
    </row>
    <row r="29" customFormat="false" ht="15" hidden="false" customHeight="true" outlineLevel="0" collapsed="false">
      <c r="A29" s="5" t="s">
        <v>145</v>
      </c>
      <c r="B29" s="11" t="n">
        <v>0.08</v>
      </c>
      <c r="C29" s="3" t="s">
        <v>129</v>
      </c>
      <c r="D29" s="8" t="s">
        <v>146</v>
      </c>
    </row>
    <row r="30" customFormat="false" ht="15" hidden="false" customHeight="true" outlineLevel="0" collapsed="false">
      <c r="A30" s="5" t="s">
        <v>147</v>
      </c>
      <c r="B30" s="11" t="n">
        <v>0.04</v>
      </c>
      <c r="C30" s="3" t="s">
        <v>129</v>
      </c>
      <c r="D30" s="8" t="s">
        <v>148</v>
      </c>
    </row>
    <row r="31" customFormat="false" ht="15" hidden="false" customHeight="true" outlineLevel="0" collapsed="false">
      <c r="A31" s="5" t="s">
        <v>149</v>
      </c>
      <c r="B31" s="11" t="n">
        <v>0.01</v>
      </c>
      <c r="C31" s="3" t="s">
        <v>129</v>
      </c>
      <c r="D31" s="8" t="s">
        <v>150</v>
      </c>
    </row>
    <row r="32" customFormat="false" ht="15" hidden="false" customHeight="true" outlineLevel="0" collapsed="false">
      <c r="A32" s="5" t="s">
        <v>151</v>
      </c>
      <c r="B32" s="11" t="n">
        <v>0.15</v>
      </c>
      <c r="C32" s="3" t="s">
        <v>129</v>
      </c>
      <c r="D32" s="8" t="s">
        <v>152</v>
      </c>
    </row>
    <row r="33" customFormat="false" ht="15" hidden="false" customHeight="true" outlineLevel="0" collapsed="false">
      <c r="A33" s="5" t="s">
        <v>153</v>
      </c>
      <c r="B33" s="11" t="n">
        <v>2</v>
      </c>
      <c r="C33" s="3" t="s">
        <v>154</v>
      </c>
      <c r="D33" s="8" t="s">
        <v>155</v>
      </c>
    </row>
    <row r="34" customFormat="false" ht="15" hidden="false" customHeight="true" outlineLevel="0" collapsed="false">
      <c r="A34" s="5" t="s">
        <v>156</v>
      </c>
      <c r="B34" s="11" t="n">
        <v>30</v>
      </c>
      <c r="C34" s="3" t="s">
        <v>154</v>
      </c>
      <c r="D34" s="8" t="s">
        <v>157</v>
      </c>
    </row>
    <row r="35" customFormat="false" ht="15" hidden="false" customHeight="true" outlineLevel="0" collapsed="false">
      <c r="A35" s="5" t="s">
        <v>158</v>
      </c>
      <c r="B35" s="13" t="n">
        <v>0.01</v>
      </c>
      <c r="C35" s="3" t="s">
        <v>129</v>
      </c>
      <c r="D35" s="8" t="s">
        <v>159</v>
      </c>
    </row>
    <row r="36" customFormat="false" ht="15" hidden="false" customHeight="true" outlineLevel="0" collapsed="false">
      <c r="A36" s="6" t="s">
        <v>160</v>
      </c>
      <c r="B36" s="13" t="n">
        <v>0.15</v>
      </c>
      <c r="C36" s="3" t="s">
        <v>129</v>
      </c>
      <c r="D36" s="8" t="s">
        <v>161</v>
      </c>
    </row>
    <row r="37" customFormat="false" ht="15" hidden="false" customHeight="true" outlineLevel="0" collapsed="false">
      <c r="A37" s="5" t="s">
        <v>162</v>
      </c>
      <c r="B37" s="7" t="n">
        <v>100</v>
      </c>
      <c r="C37" s="3" t="s">
        <v>154</v>
      </c>
      <c r="D37" s="8" t="s">
        <v>163</v>
      </c>
    </row>
    <row r="38" customFormat="false" ht="15" hidden="false" customHeight="true" outlineLevel="0" collapsed="false">
      <c r="A38" s="5" t="s">
        <v>164</v>
      </c>
      <c r="B38" s="7" t="n">
        <v>8</v>
      </c>
      <c r="C38" s="3" t="s">
        <v>154</v>
      </c>
      <c r="D38" s="8"/>
    </row>
    <row r="39" customFormat="false" ht="15" hidden="false" customHeight="true" outlineLevel="0" collapsed="false">
      <c r="A39" s="5" t="s">
        <v>165</v>
      </c>
      <c r="B39" s="7" t="n">
        <v>-10</v>
      </c>
      <c r="C39" s="3" t="s">
        <v>154</v>
      </c>
      <c r="D39" s="8" t="s">
        <v>166</v>
      </c>
    </row>
    <row r="40" customFormat="false" ht="15" hidden="false" customHeight="true" outlineLevel="0" collapsed="false">
      <c r="A40" s="5" t="s">
        <v>167</v>
      </c>
      <c r="B40" s="9" t="n">
        <v>0.85</v>
      </c>
      <c r="C40" s="3" t="s">
        <v>136</v>
      </c>
      <c r="D40" s="8" t="s">
        <v>168</v>
      </c>
    </row>
    <row r="41" customFormat="false" ht="15" hidden="false" customHeight="true" outlineLevel="0" collapsed="false">
      <c r="A41" s="5" t="s">
        <v>169</v>
      </c>
      <c r="B41" s="7" t="n">
        <v>80</v>
      </c>
      <c r="C41" s="3" t="s">
        <v>154</v>
      </c>
      <c r="D41" s="8" t="s">
        <v>170</v>
      </c>
    </row>
    <row r="42" customFormat="false" ht="15" hidden="false" customHeight="true" outlineLevel="0" collapsed="false">
      <c r="A42" s="5" t="s">
        <v>164</v>
      </c>
      <c r="B42" s="14" t="n">
        <v>8</v>
      </c>
      <c r="C42" s="3" t="s">
        <v>154</v>
      </c>
      <c r="D42" s="8"/>
    </row>
    <row r="43" customFormat="false" ht="15" hidden="false" customHeight="true" outlineLevel="0" collapsed="false">
      <c r="A43" s="5" t="s">
        <v>165</v>
      </c>
      <c r="B43" s="15" t="n">
        <v>-10</v>
      </c>
      <c r="C43" s="3" t="s">
        <v>154</v>
      </c>
      <c r="D43" s="8" t="s">
        <v>171</v>
      </c>
    </row>
    <row r="44" customFormat="false" ht="15" hidden="false" customHeight="true" outlineLevel="0" collapsed="false">
      <c r="A44" s="5" t="s">
        <v>167</v>
      </c>
      <c r="B44" s="14" t="n">
        <v>0.85</v>
      </c>
      <c r="C44" s="3" t="s">
        <v>136</v>
      </c>
      <c r="D44" s="8" t="s">
        <v>168</v>
      </c>
    </row>
    <row r="45" customFormat="false" ht="15" hidden="false" customHeight="true" outlineLevel="0" collapsed="false">
      <c r="A45" s="6" t="s">
        <v>172</v>
      </c>
      <c r="B45" s="15" t="n">
        <v>80</v>
      </c>
      <c r="C45" s="3" t="s">
        <v>154</v>
      </c>
      <c r="D45" s="8" t="s">
        <v>173</v>
      </c>
    </row>
    <row r="46" customFormat="false" ht="15" hidden="false" customHeight="true" outlineLevel="0" collapsed="false">
      <c r="A46" s="5" t="s">
        <v>174</v>
      </c>
      <c r="B46" s="7" t="n">
        <v>4</v>
      </c>
      <c r="C46" s="3" t="s">
        <v>175</v>
      </c>
      <c r="D46" s="8" t="s">
        <v>176</v>
      </c>
    </row>
    <row r="47" customFormat="false" ht="15" hidden="false" customHeight="true" outlineLevel="0" collapsed="false">
      <c r="A47" s="5" t="s">
        <v>177</v>
      </c>
      <c r="B47" s="11" t="n">
        <v>0.02</v>
      </c>
      <c r="C47" s="3" t="s">
        <v>129</v>
      </c>
      <c r="D47" s="8" t="s">
        <v>178</v>
      </c>
    </row>
    <row r="48" customFormat="false" ht="15" hidden="false" customHeight="true" outlineLevel="0" collapsed="false">
      <c r="A48" s="5" t="s">
        <v>179</v>
      </c>
      <c r="B48" s="11" t="n">
        <v>0.2</v>
      </c>
      <c r="C48" s="3" t="s">
        <v>129</v>
      </c>
      <c r="D48" s="8" t="s">
        <v>180</v>
      </c>
    </row>
    <row r="50" customFormat="false" ht="15" hidden="false" customHeight="true" outlineLevel="0" collapsed="false">
      <c r="A50" s="6" t="s">
        <v>181</v>
      </c>
    </row>
    <row r="51" customFormat="false" ht="15" hidden="false" customHeight="true" outlineLevel="0" collapsed="false">
      <c r="A51" s="5" t="s">
        <v>182</v>
      </c>
      <c r="B51" s="7" t="n">
        <v>10</v>
      </c>
      <c r="C51" s="3" t="s">
        <v>183</v>
      </c>
      <c r="D51" s="8" t="s">
        <v>184</v>
      </c>
    </row>
    <row r="52" customFormat="false" ht="15" hidden="false" customHeight="true" outlineLevel="0" collapsed="false">
      <c r="A52" s="5" t="s">
        <v>185</v>
      </c>
      <c r="B52" s="7" t="n">
        <v>50</v>
      </c>
      <c r="C52" s="3" t="s">
        <v>117</v>
      </c>
      <c r="D52" s="8" t="s">
        <v>186</v>
      </c>
    </row>
    <row r="53" customFormat="false" ht="15" hidden="false" customHeight="true" outlineLevel="0" collapsed="false">
      <c r="A53" s="5" t="s">
        <v>187</v>
      </c>
      <c r="B53" s="9" t="n">
        <v>0.9</v>
      </c>
      <c r="C53" s="3"/>
      <c r="D53" s="8" t="s">
        <v>188</v>
      </c>
    </row>
    <row r="54" customFormat="false" ht="15" hidden="false" customHeight="true" outlineLevel="0" collapsed="false">
      <c r="A54" s="5" t="s">
        <v>189</v>
      </c>
      <c r="B54" s="7" t="n">
        <v>10</v>
      </c>
      <c r="C54" s="3" t="s">
        <v>122</v>
      </c>
      <c r="D54" s="8"/>
    </row>
    <row r="55" customFormat="false" ht="15" hidden="false" customHeight="true" outlineLevel="0" collapsed="false">
      <c r="A55" s="5" t="s">
        <v>190</v>
      </c>
      <c r="B55" s="9" t="n">
        <v>0.8</v>
      </c>
      <c r="C55" s="3"/>
      <c r="D55" s="8"/>
    </row>
    <row r="56" customFormat="false" ht="15" hidden="false" customHeight="true" outlineLevel="0" collapsed="false">
      <c r="A56" s="5" t="s">
        <v>191</v>
      </c>
      <c r="B56" s="7" t="n">
        <v>4</v>
      </c>
      <c r="C56" s="3" t="s">
        <v>126</v>
      </c>
      <c r="D56" s="8"/>
    </row>
    <row r="57" customFormat="false" ht="15" hidden="false" customHeight="true" outlineLevel="0" collapsed="false">
      <c r="A57" s="5" t="s">
        <v>192</v>
      </c>
      <c r="B57" s="9" t="n">
        <v>0.85</v>
      </c>
      <c r="C57" s="3"/>
      <c r="D57" s="8"/>
    </row>
    <row r="58" customFormat="false" ht="15" hidden="false" customHeight="true" outlineLevel="0" collapsed="false">
      <c r="A58" s="5" t="s">
        <v>193</v>
      </c>
      <c r="B58" s="11" t="n">
        <v>0.2</v>
      </c>
      <c r="C58" s="3" t="s">
        <v>129</v>
      </c>
      <c r="D58" s="8" t="s">
        <v>194</v>
      </c>
    </row>
    <row r="59" customFormat="false" ht="15" hidden="false" customHeight="true" outlineLevel="0" collapsed="false">
      <c r="A59" s="5" t="s">
        <v>195</v>
      </c>
      <c r="B59" s="9" t="n">
        <v>2.2</v>
      </c>
      <c r="C59" s="3" t="s">
        <v>136</v>
      </c>
      <c r="D59" s="8" t="s">
        <v>196</v>
      </c>
    </row>
    <row r="60" customFormat="false" ht="15" hidden="false" customHeight="true" outlineLevel="0" collapsed="false">
      <c r="A60" s="5" t="s">
        <v>197</v>
      </c>
      <c r="B60" s="9" t="n">
        <v>1.5</v>
      </c>
      <c r="C60" s="3" t="s">
        <v>136</v>
      </c>
      <c r="D60" s="8"/>
    </row>
    <row r="62" customFormat="false" ht="15" hidden="false" customHeight="true" outlineLevel="0" collapsed="false">
      <c r="A62" s="6" t="s">
        <v>198</v>
      </c>
    </row>
    <row r="63" customFormat="false" ht="15" hidden="false" customHeight="true" outlineLevel="0" collapsed="false">
      <c r="A63" s="5" t="s">
        <v>199</v>
      </c>
      <c r="B63" s="7" t="n">
        <v>10</v>
      </c>
      <c r="C63" s="3" t="s">
        <v>200</v>
      </c>
      <c r="D63" s="8" t="s">
        <v>201</v>
      </c>
    </row>
    <row r="64" customFormat="false" ht="15" hidden="false" customHeight="true" outlineLevel="0" collapsed="false">
      <c r="A64" s="5" t="s">
        <v>202</v>
      </c>
      <c r="B64" s="11" t="n">
        <v>0.1</v>
      </c>
      <c r="C64" s="3" t="s">
        <v>129</v>
      </c>
      <c r="D64" s="8"/>
    </row>
    <row r="65" customFormat="false" ht="15" hidden="false" customHeight="true" outlineLevel="0" collapsed="false">
      <c r="A65" s="5" t="s">
        <v>203</v>
      </c>
      <c r="B65" s="7" t="n">
        <v>1</v>
      </c>
      <c r="C65" s="3" t="s">
        <v>204</v>
      </c>
      <c r="D65" s="8" t="s">
        <v>205</v>
      </c>
    </row>
    <row r="66" customFormat="false" ht="15" hidden="false" customHeight="true" outlineLevel="0" collapsed="false">
      <c r="A66" s="5" t="s">
        <v>206</v>
      </c>
      <c r="B66" s="7" t="n">
        <v>5</v>
      </c>
      <c r="C66" s="3" t="s">
        <v>204</v>
      </c>
      <c r="D66" s="8"/>
    </row>
    <row r="67" customFormat="false" ht="15" hidden="false" customHeight="true" outlineLevel="0" collapsed="false">
      <c r="A67" s="5" t="s">
        <v>207</v>
      </c>
      <c r="B67" s="7" t="n">
        <v>3000</v>
      </c>
      <c r="C67" s="3" t="s">
        <v>200</v>
      </c>
      <c r="D67" s="8" t="s">
        <v>208</v>
      </c>
    </row>
    <row r="68" customFormat="false" ht="15" hidden="false" customHeight="true" outlineLevel="0" collapsed="false">
      <c r="A68" s="5" t="s">
        <v>209</v>
      </c>
      <c r="B68" s="7" t="n">
        <v>40</v>
      </c>
      <c r="C68" s="3" t="s">
        <v>204</v>
      </c>
      <c r="D68" s="8" t="s">
        <v>210</v>
      </c>
    </row>
    <row r="69" customFormat="false" ht="15" hidden="false" customHeight="true" outlineLevel="0" collapsed="false">
      <c r="A69" s="5" t="s">
        <v>211</v>
      </c>
      <c r="B69" s="9" t="n">
        <v>1.35</v>
      </c>
      <c r="C69" s="3" t="s">
        <v>136</v>
      </c>
      <c r="D69" s="8" t="s">
        <v>212</v>
      </c>
    </row>
    <row r="70" customFormat="false" ht="15" hidden="false" customHeight="true" outlineLevel="0" collapsed="false">
      <c r="A70" s="5" t="s">
        <v>213</v>
      </c>
      <c r="B70" s="7" t="n">
        <v>3</v>
      </c>
      <c r="C70" s="3" t="s">
        <v>214</v>
      </c>
      <c r="D70" s="8" t="s">
        <v>215</v>
      </c>
    </row>
    <row r="71" customFormat="false" ht="15" hidden="false" customHeight="true" outlineLevel="0" collapsed="false">
      <c r="A71" s="5" t="s">
        <v>216</v>
      </c>
      <c r="B71" s="7" t="n">
        <v>1</v>
      </c>
      <c r="C71" s="3" t="s">
        <v>214</v>
      </c>
      <c r="D71" s="8"/>
    </row>
    <row r="73" customFormat="false" ht="15" hidden="false" customHeight="true" outlineLevel="0" collapsed="false">
      <c r="A73" s="6" t="s">
        <v>217</v>
      </c>
    </row>
    <row r="74" customFormat="false" ht="15" hidden="false" customHeight="true" outlineLevel="0" collapsed="false">
      <c r="A74" s="5" t="s">
        <v>218</v>
      </c>
      <c r="B74" s="11" t="n">
        <v>0.1</v>
      </c>
      <c r="C74" s="3" t="s">
        <v>129</v>
      </c>
      <c r="D74" s="8" t="s">
        <v>219</v>
      </c>
    </row>
    <row r="75" customFormat="false" ht="15" hidden="false" customHeight="true" outlineLevel="0" collapsed="false">
      <c r="A75" s="5" t="s">
        <v>220</v>
      </c>
      <c r="B75" s="10" t="n">
        <v>70</v>
      </c>
      <c r="C75" s="3"/>
      <c r="D75" s="8" t="s">
        <v>221</v>
      </c>
    </row>
    <row r="76" customFormat="false" ht="15" hidden="false" customHeight="true" outlineLevel="0" collapsed="false">
      <c r="A76" s="5" t="s">
        <v>222</v>
      </c>
      <c r="B76" s="10" t="n">
        <v>22</v>
      </c>
      <c r="C76" s="3"/>
      <c r="D76" s="8"/>
    </row>
    <row r="77" customFormat="false" ht="15" hidden="false" customHeight="true" outlineLevel="0" collapsed="false">
      <c r="A77" s="5" t="s">
        <v>223</v>
      </c>
      <c r="B77" s="10" t="n">
        <v>6.5</v>
      </c>
      <c r="C77" s="3"/>
      <c r="D77" s="8"/>
    </row>
    <row r="78" customFormat="false" ht="15" hidden="false" customHeight="true" outlineLevel="0" collapsed="false">
      <c r="A78" s="5" t="s">
        <v>224</v>
      </c>
      <c r="B78" s="10" t="n">
        <v>1.4</v>
      </c>
      <c r="C78" s="3"/>
      <c r="D78" s="8" t="s">
        <v>225</v>
      </c>
    </row>
    <row r="79" customFormat="false" ht="15" hidden="false" customHeight="true" outlineLevel="0" collapsed="false">
      <c r="A79" s="5" t="s">
        <v>226</v>
      </c>
      <c r="B79" s="10" t="n">
        <v>0.1</v>
      </c>
      <c r="C79" s="3"/>
      <c r="D79" s="8" t="s">
        <v>227</v>
      </c>
    </row>
    <row r="80" customFormat="false" ht="15" hidden="false" customHeight="true" outlineLevel="0" collapsed="false">
      <c r="A80" s="5" t="s">
        <v>228</v>
      </c>
      <c r="B80" s="16" t="n">
        <v>0.01</v>
      </c>
      <c r="C80" s="3"/>
      <c r="D80" s="8" t="s">
        <v>229</v>
      </c>
    </row>
    <row r="81" customFormat="false" ht="15" hidden="false" customHeight="true" outlineLevel="0" collapsed="false">
      <c r="A81" s="5" t="s">
        <v>230</v>
      </c>
      <c r="B81" s="7" t="n">
        <v>40</v>
      </c>
      <c r="C81" s="3" t="s">
        <v>231</v>
      </c>
      <c r="D81" s="8" t="s">
        <v>232</v>
      </c>
    </row>
    <row r="82" customFormat="false" ht="15" hidden="false" customHeight="true" outlineLevel="0" collapsed="false">
      <c r="A82" s="5" t="s">
        <v>233</v>
      </c>
      <c r="B82" s="11" t="n">
        <v>0.03</v>
      </c>
      <c r="C82" s="3" t="s">
        <v>129</v>
      </c>
      <c r="D82" s="8" t="s">
        <v>234</v>
      </c>
    </row>
    <row r="83" customFormat="false" ht="15" hidden="false" customHeight="true" outlineLevel="0" collapsed="false">
      <c r="A83" s="5" t="s">
        <v>235</v>
      </c>
      <c r="B83" s="7" t="n">
        <v>60</v>
      </c>
      <c r="C83" s="3" t="s">
        <v>231</v>
      </c>
      <c r="D83" s="8" t="s">
        <v>236</v>
      </c>
    </row>
    <row r="85" customFormat="false" ht="15" hidden="false" customHeight="true" outlineLevel="0" collapsed="false">
      <c r="A85" s="6" t="s">
        <v>237</v>
      </c>
    </row>
    <row r="86" customFormat="false" ht="15" hidden="false" customHeight="true" outlineLevel="0" collapsed="false">
      <c r="A86" s="5" t="s">
        <v>238</v>
      </c>
      <c r="B86" s="7" t="n">
        <v>6</v>
      </c>
      <c r="C86" s="3"/>
      <c r="D86" s="8"/>
    </row>
    <row r="87" customFormat="false" ht="15" hidden="false" customHeight="true" outlineLevel="0" collapsed="false">
      <c r="A87" s="5" t="s">
        <v>239</v>
      </c>
      <c r="B87" s="7" t="n">
        <v>4</v>
      </c>
      <c r="C87" s="3"/>
      <c r="D87" s="8" t="s">
        <v>240</v>
      </c>
    </row>
    <row r="88" customFormat="false" ht="15" hidden="false" customHeight="true" outlineLevel="0" collapsed="false">
      <c r="A88" s="5" t="s">
        <v>241</v>
      </c>
      <c r="B88" s="9" t="n">
        <v>1</v>
      </c>
      <c r="C88" s="3" t="s">
        <v>136</v>
      </c>
      <c r="D88" s="8"/>
    </row>
    <row r="89" customFormat="false" ht="15" hidden="false" customHeight="true" outlineLevel="0" collapsed="false">
      <c r="A89" s="5" t="s">
        <v>242</v>
      </c>
      <c r="B89" s="9" t="n">
        <v>1.6</v>
      </c>
      <c r="C89" s="3" t="s">
        <v>136</v>
      </c>
      <c r="D89" s="8"/>
    </row>
    <row r="90" customFormat="false" ht="15" hidden="false" customHeight="true" outlineLevel="0" collapsed="false">
      <c r="A90" s="5" t="s">
        <v>243</v>
      </c>
      <c r="B90" s="9" t="n">
        <v>2.6</v>
      </c>
      <c r="C90" s="3" t="s">
        <v>136</v>
      </c>
      <c r="D90" s="8"/>
    </row>
    <row r="91" customFormat="false" ht="15" hidden="false" customHeight="true" outlineLevel="0" collapsed="false">
      <c r="A91" s="5" t="s">
        <v>244</v>
      </c>
      <c r="B91" s="9" t="n">
        <v>4.2</v>
      </c>
      <c r="C91" s="3" t="s">
        <v>136</v>
      </c>
      <c r="D91" s="8" t="s">
        <v>245</v>
      </c>
    </row>
    <row r="92" customFormat="false" ht="15" hidden="false" customHeight="true" outlineLevel="0" collapsed="false">
      <c r="A92" s="5" t="s">
        <v>246</v>
      </c>
      <c r="B92" s="9" t="n">
        <v>6.8</v>
      </c>
      <c r="C92" s="3" t="s">
        <v>136</v>
      </c>
      <c r="D92" s="8"/>
    </row>
    <row r="93" customFormat="false" ht="15" hidden="false" customHeight="true" outlineLevel="0" collapsed="false">
      <c r="A93" s="5" t="s">
        <v>247</v>
      </c>
      <c r="B93" s="11" t="n">
        <v>0.08</v>
      </c>
      <c r="C93" s="3" t="s">
        <v>129</v>
      </c>
      <c r="D93" s="8"/>
    </row>
    <row r="94" customFormat="false" ht="15" hidden="false" customHeight="true" outlineLevel="0" collapsed="false">
      <c r="A94" s="5" t="s">
        <v>248</v>
      </c>
      <c r="B94" s="7" t="n">
        <v>10</v>
      </c>
      <c r="C94" s="3" t="s">
        <v>109</v>
      </c>
      <c r="D94" s="8"/>
    </row>
    <row r="95" customFormat="false" ht="15" hidden="false" customHeight="true" outlineLevel="0" collapsed="false">
      <c r="A95" s="5" t="s">
        <v>249</v>
      </c>
      <c r="B95" s="7" t="n">
        <v>5</v>
      </c>
      <c r="C95" s="3" t="s">
        <v>214</v>
      </c>
      <c r="D95" s="8"/>
    </row>
    <row r="96" customFormat="false" ht="15" hidden="false" customHeight="true" outlineLevel="0" collapsed="false">
      <c r="A96" s="5" t="s">
        <v>250</v>
      </c>
      <c r="B96" s="9" t="n">
        <v>1.22</v>
      </c>
      <c r="C96" s="3" t="s">
        <v>136</v>
      </c>
      <c r="D96" s="8" t="s">
        <v>251</v>
      </c>
    </row>
    <row r="98" customFormat="false" ht="15" hidden="false" customHeight="true" outlineLevel="0" collapsed="false">
      <c r="A98" s="6" t="s">
        <v>252</v>
      </c>
    </row>
    <row r="99" customFormat="false" ht="15" hidden="false" customHeight="true" outlineLevel="0" collapsed="false">
      <c r="A99" s="5" t="s">
        <v>253</v>
      </c>
      <c r="B99" s="7" t="n">
        <v>20000</v>
      </c>
      <c r="C99" s="3" t="s">
        <v>254</v>
      </c>
      <c r="D99" s="8" t="s">
        <v>255</v>
      </c>
    </row>
    <row r="100" customFormat="false" ht="15" hidden="false" customHeight="true" outlineLevel="0" collapsed="false">
      <c r="A100" s="5" t="s">
        <v>256</v>
      </c>
      <c r="B100" s="10" t="n">
        <v>0.5</v>
      </c>
      <c r="C100" s="3" t="s">
        <v>257</v>
      </c>
      <c r="D100" s="8" t="s">
        <v>258</v>
      </c>
    </row>
    <row r="101" customFormat="false" ht="15" hidden="false" customHeight="true" outlineLevel="0" collapsed="false">
      <c r="A101" s="5" t="s">
        <v>259</v>
      </c>
      <c r="B101" s="9" t="n">
        <v>1.1</v>
      </c>
      <c r="C101" s="3" t="s">
        <v>136</v>
      </c>
      <c r="D101" s="8" t="s">
        <v>260</v>
      </c>
    </row>
    <row r="102" customFormat="false" ht="15" hidden="false" customHeight="true" outlineLevel="0" collapsed="false">
      <c r="A102" s="5" t="s">
        <v>261</v>
      </c>
      <c r="B102" s="9" t="n">
        <v>0.98</v>
      </c>
      <c r="C102" s="3" t="s">
        <v>136</v>
      </c>
      <c r="D102" s="8" t="s">
        <v>262</v>
      </c>
    </row>
    <row r="103" customFormat="false" ht="15" hidden="false" customHeight="true" outlineLevel="0" collapsed="false">
      <c r="A103" s="5" t="s">
        <v>263</v>
      </c>
      <c r="B103" s="9" t="n">
        <v>1.1</v>
      </c>
      <c r="C103" s="3" t="s">
        <v>136</v>
      </c>
      <c r="D103" s="8" t="s">
        <v>264</v>
      </c>
    </row>
    <row r="104" customFormat="false" ht="15" hidden="false" customHeight="true" outlineLevel="0" collapsed="false">
      <c r="A104" s="4" t="s">
        <v>265</v>
      </c>
      <c r="B104" s="17" t="n">
        <f aca="false">ROUND((B5+B99/B6+B100*B7)*B101*B102*B103,0)</f>
        <v>193</v>
      </c>
      <c r="C104" s="3" t="s">
        <v>97</v>
      </c>
      <c r="D104" s="8" t="s">
        <v>266</v>
      </c>
    </row>
    <row r="106" customFormat="false" ht="15" hidden="false" customHeight="true" outlineLevel="0" collapsed="false">
      <c r="A106" s="6" t="s">
        <v>267</v>
      </c>
    </row>
    <row r="107" customFormat="false" ht="15" hidden="false" customHeight="true" outlineLevel="0" collapsed="false">
      <c r="A107" s="5" t="s">
        <v>268</v>
      </c>
      <c r="B107" s="7" t="n">
        <v>3</v>
      </c>
      <c r="C107" s="3" t="s">
        <v>269</v>
      </c>
      <c r="D107" s="8" t="s">
        <v>270</v>
      </c>
    </row>
    <row r="108" customFormat="false" ht="15" hidden="false" customHeight="true" outlineLevel="0" collapsed="false">
      <c r="A108" s="5" t="s">
        <v>271</v>
      </c>
      <c r="B108" s="7" t="n">
        <v>6</v>
      </c>
      <c r="C108" s="3" t="s">
        <v>272</v>
      </c>
      <c r="D108" s="8" t="s">
        <v>273</v>
      </c>
    </row>
    <row r="109" customFormat="false" ht="15" hidden="false" customHeight="true" outlineLevel="0" collapsed="false">
      <c r="A109" s="5" t="s">
        <v>274</v>
      </c>
      <c r="B109" s="11" t="n">
        <v>0.005</v>
      </c>
      <c r="C109" s="3" t="s">
        <v>275</v>
      </c>
      <c r="D109" s="8" t="s">
        <v>276</v>
      </c>
    </row>
    <row r="110" customFormat="false" ht="15" hidden="false" customHeight="true" outlineLevel="0" collapsed="false">
      <c r="A110" s="5" t="s">
        <v>277</v>
      </c>
      <c r="B110" s="10" t="n">
        <v>1.5</v>
      </c>
      <c r="C110" s="3" t="s">
        <v>278</v>
      </c>
      <c r="D110" s="8" t="s">
        <v>279</v>
      </c>
    </row>
    <row r="111" customFormat="false" ht="15" hidden="false" customHeight="true" outlineLevel="0" collapsed="false">
      <c r="A111" s="5" t="s">
        <v>280</v>
      </c>
      <c r="B111" s="7" t="n">
        <v>56</v>
      </c>
      <c r="C111" s="3" t="s">
        <v>183</v>
      </c>
      <c r="D111" s="8" t="s">
        <v>281</v>
      </c>
    </row>
    <row r="112" customFormat="false" ht="15" hidden="false" customHeight="true" outlineLevel="0" collapsed="false">
      <c r="A112" s="5" t="s">
        <v>282</v>
      </c>
      <c r="B112" s="7" t="n">
        <v>200</v>
      </c>
      <c r="C112" s="3" t="s">
        <v>200</v>
      </c>
      <c r="D112" s="8" t="s">
        <v>283</v>
      </c>
    </row>
    <row r="113" customFormat="false" ht="15" hidden="false" customHeight="true" outlineLevel="0" collapsed="false">
      <c r="A113" s="5" t="s">
        <v>284</v>
      </c>
      <c r="B113" s="7" t="n">
        <v>3</v>
      </c>
      <c r="C113" s="3" t="s">
        <v>136</v>
      </c>
      <c r="D113" s="8" t="s">
        <v>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5"/>
    <col collapsed="false" customWidth="true" hidden="false" outlineLevel="0" max="3" min="3" style="1" width="13"/>
    <col collapsed="false" customWidth="true" hidden="false" outlineLevel="0" max="4" min="4" style="1" width="9"/>
    <col collapsed="false" customWidth="true" hidden="false" outlineLevel="0" max="6" min="5" style="1" width="8"/>
    <col collapsed="false" customWidth="true" hidden="false" outlineLevel="0" max="7" min="7" style="1" width="9"/>
    <col collapsed="false" customWidth="true" hidden="false" outlineLevel="0" max="8" min="8" style="1" width="10"/>
    <col collapsed="false" customWidth="true" hidden="false" outlineLevel="0" max="11" min="9" style="1" width="11"/>
    <col collapsed="false" customWidth="true" hidden="false" outlineLevel="0" max="12" min="12" style="1" width="10"/>
    <col collapsed="false" customWidth="true" hidden="false" outlineLevel="0" max="13" min="13" style="1" width="34"/>
  </cols>
  <sheetData>
    <row r="1" customFormat="false" ht="17.25" hidden="false" customHeight="true" outlineLevel="0" collapsed="false">
      <c r="A1" s="2" t="s">
        <v>286</v>
      </c>
    </row>
    <row r="2" customFormat="false" ht="15" hidden="false" customHeight="true" outlineLevel="0" collapsed="false">
      <c r="A2" s="18" t="s">
        <v>287</v>
      </c>
    </row>
    <row r="4" customFormat="false" ht="32.25" hidden="false" customHeight="true" outlineLevel="0" collapsed="false">
      <c r="A4" s="19" t="s">
        <v>288</v>
      </c>
      <c r="B4" s="19" t="s">
        <v>289</v>
      </c>
      <c r="C4" s="19" t="s">
        <v>290</v>
      </c>
      <c r="D4" s="19" t="s">
        <v>117</v>
      </c>
      <c r="E4" s="19" t="s">
        <v>122</v>
      </c>
      <c r="F4" s="19" t="s">
        <v>126</v>
      </c>
      <c r="G4" s="19" t="s">
        <v>291</v>
      </c>
      <c r="H4" s="19" t="s">
        <v>292</v>
      </c>
      <c r="I4" s="19" t="s">
        <v>293</v>
      </c>
      <c r="J4" s="19" t="s">
        <v>294</v>
      </c>
      <c r="K4" s="19" t="s">
        <v>295</v>
      </c>
      <c r="L4" s="19" t="s">
        <v>296</v>
      </c>
      <c r="M4" s="19" t="s">
        <v>297</v>
      </c>
    </row>
    <row r="5" customFormat="false" ht="15" hidden="false" customHeight="true" outlineLevel="0" collapsed="false">
      <c r="A5" s="20" t="n">
        <v>1</v>
      </c>
      <c r="B5" s="21" t="n">
        <f aca="false">IF(A5=1,0,IF(A5-1&lt;=Parametres!$B$10,ROUND(Parametres!$B$8*(A5-1)^Parametres!$B$9,0),ROUND(Parametres!$B$8*Parametres!$B$10^Parametres!$B$9+Parametres!$B$11*(A5-1-Parametres!$B$10),0)))</f>
        <v>0</v>
      </c>
      <c r="C5" s="22" t="n">
        <f aca="false">B5</f>
        <v>0</v>
      </c>
      <c r="D5" s="21" t="n">
        <f aca="false">Parametres!$B$15+Parametres!$B$16*(A5-1)</f>
        <v>100</v>
      </c>
      <c r="E5" s="21" t="n">
        <f aca="false">Parametres!$B$17+Parametres!$B$18*(A5-1)</f>
        <v>10</v>
      </c>
      <c r="F5" s="21" t="n">
        <f aca="false">Parametres!$B$19+Parametres!$B$20*(A5-1)</f>
        <v>5</v>
      </c>
      <c r="G5" s="23" t="n">
        <f aca="false">Parametres!$B$21+Parametres!$B$22*(A5/(A5+Parametres!$B$23))</f>
        <v>0.0571428571428572</v>
      </c>
      <c r="H5" s="21" t="n">
        <f aca="false">IF(A5=1,0,Parametres!$B$70+Parametres!$B$71*INT(A5/5))</f>
        <v>0</v>
      </c>
      <c r="I5" s="22" t="n">
        <f aca="false">H5</f>
        <v>0</v>
      </c>
      <c r="J5" s="21" t="n">
        <f aca="false">ROUND(C5/Parametres!$B$104,0)</f>
        <v>0</v>
      </c>
      <c r="K5" s="24" t="n">
        <f aca="false">ROUND(J5/Parametres!$B$46,1)</f>
        <v>0</v>
      </c>
      <c r="L5" s="25" t="n">
        <f aca="false">ROUND(K5/4.345,1)</f>
        <v>0</v>
      </c>
      <c r="M5" s="26" t="s">
        <v>298</v>
      </c>
    </row>
    <row r="6" customFormat="false" ht="15" hidden="false" customHeight="true" outlineLevel="0" collapsed="false">
      <c r="A6" s="27" t="n">
        <v>2</v>
      </c>
      <c r="B6" s="28" t="n">
        <f aca="false">IF(A6=1,0,IF(A6-1&lt;=Parametres!$B$10,ROUND(Parametres!$B$8*(A6-1)^Parametres!$B$9,0),ROUND(Parametres!$B$8*Parametres!$B$10^Parametres!$B$9+Parametres!$B$11*(A6-1-Parametres!$B$10),0)))</f>
        <v>50</v>
      </c>
      <c r="C6" s="29" t="n">
        <f aca="false">C5+B6</f>
        <v>50</v>
      </c>
      <c r="D6" s="28" t="n">
        <f aca="false">Parametres!$B$15+Parametres!$B$16*(A6-1)</f>
        <v>135</v>
      </c>
      <c r="E6" s="28" t="n">
        <f aca="false">Parametres!$B$17+Parametres!$B$18*(A6-1)</f>
        <v>16</v>
      </c>
      <c r="F6" s="28" t="n">
        <f aca="false">Parametres!$B$19+Parametres!$B$20*(A6-1)</f>
        <v>7.5</v>
      </c>
      <c r="G6" s="30" t="n">
        <f aca="false">Parametres!$B$21+Parametres!$B$22*(A6/(A6+Parametres!$B$23))</f>
        <v>0.0636363636363636</v>
      </c>
      <c r="H6" s="28" t="n">
        <f aca="false">IF(A6=1,0,Parametres!$B$70+Parametres!$B$71*INT(A6/5))</f>
        <v>3</v>
      </c>
      <c r="I6" s="29" t="n">
        <f aca="false">I5+H6</f>
        <v>3</v>
      </c>
      <c r="J6" s="28" t="n">
        <f aca="false">ROUND(C6/Parametres!$B$104,0)</f>
        <v>0</v>
      </c>
      <c r="K6" s="31" t="n">
        <f aca="false">ROUND(J6/Parametres!$B$46,1)</f>
        <v>0</v>
      </c>
      <c r="L6" s="32" t="n">
        <f aca="false">ROUND(K6/4.345,1)</f>
        <v>0</v>
      </c>
      <c r="M6" s="33"/>
    </row>
    <row r="7" customFormat="false" ht="15" hidden="false" customHeight="true" outlineLevel="0" collapsed="false">
      <c r="A7" s="20" t="n">
        <v>3</v>
      </c>
      <c r="B7" s="21" t="n">
        <f aca="false">IF(A7=1,0,IF(A7-1&lt;=Parametres!$B$10,ROUND(Parametres!$B$8*(A7-1)^Parametres!$B$9,0),ROUND(Parametres!$B$8*Parametres!$B$10^Parametres!$B$9+Parametres!$B$11*(A7-1-Parametres!$B$10),0)))</f>
        <v>141</v>
      </c>
      <c r="C7" s="22" t="n">
        <f aca="false">C6+B7</f>
        <v>191</v>
      </c>
      <c r="D7" s="21" t="n">
        <f aca="false">Parametres!$B$15+Parametres!$B$16*(A7-1)</f>
        <v>170</v>
      </c>
      <c r="E7" s="21" t="n">
        <f aca="false">Parametres!$B$17+Parametres!$B$18*(A7-1)</f>
        <v>22</v>
      </c>
      <c r="F7" s="21" t="n">
        <f aca="false">Parametres!$B$19+Parametres!$B$20*(A7-1)</f>
        <v>10</v>
      </c>
      <c r="G7" s="23" t="n">
        <f aca="false">Parametres!$B$21+Parametres!$B$22*(A7/(A7+Parametres!$B$23))</f>
        <v>0.0695652173913044</v>
      </c>
      <c r="H7" s="21" t="n">
        <f aca="false">IF(A7=1,0,Parametres!$B$70+Parametres!$B$71*INT(A7/5))</f>
        <v>3</v>
      </c>
      <c r="I7" s="22" t="n">
        <f aca="false">I6+H7</f>
        <v>6</v>
      </c>
      <c r="J7" s="21" t="n">
        <f aca="false">ROUND(C7/Parametres!$B$104,0)</f>
        <v>1</v>
      </c>
      <c r="K7" s="24" t="n">
        <f aca="false">ROUND(J7/Parametres!$B$46,1)</f>
        <v>0.3</v>
      </c>
      <c r="L7" s="25" t="n">
        <f aca="false">ROUND(K7/4.345,1)</f>
        <v>0.1</v>
      </c>
      <c r="M7" s="26" t="s">
        <v>299</v>
      </c>
    </row>
    <row r="8" customFormat="false" ht="15" hidden="false" customHeight="true" outlineLevel="0" collapsed="false">
      <c r="A8" s="27" t="n">
        <v>4</v>
      </c>
      <c r="B8" s="28" t="n">
        <f aca="false">IF(A8=1,0,IF(A8-1&lt;=Parametres!$B$10,ROUND(Parametres!$B$8*(A8-1)^Parametres!$B$9,0),ROUND(Parametres!$B$8*Parametres!$B$10^Parametres!$B$9+Parametres!$B$11*(A8-1-Parametres!$B$10),0)))</f>
        <v>260</v>
      </c>
      <c r="C8" s="29" t="n">
        <f aca="false">C7+B8</f>
        <v>451</v>
      </c>
      <c r="D8" s="28" t="n">
        <f aca="false">Parametres!$B$15+Parametres!$B$16*(A8-1)</f>
        <v>205</v>
      </c>
      <c r="E8" s="28" t="n">
        <f aca="false">Parametres!$B$17+Parametres!$B$18*(A8-1)</f>
        <v>28</v>
      </c>
      <c r="F8" s="28" t="n">
        <f aca="false">Parametres!$B$19+Parametres!$B$20*(A8-1)</f>
        <v>12.5</v>
      </c>
      <c r="G8" s="30" t="n">
        <f aca="false">Parametres!$B$21+Parametres!$B$22*(A8/(A8+Parametres!$B$23))</f>
        <v>0.075</v>
      </c>
      <c r="H8" s="28" t="n">
        <f aca="false">IF(A8=1,0,Parametres!$B$70+Parametres!$B$71*INT(A8/5))</f>
        <v>3</v>
      </c>
      <c r="I8" s="29" t="n">
        <f aca="false">I7+H8</f>
        <v>9</v>
      </c>
      <c r="J8" s="28" t="n">
        <f aca="false">ROUND(C8/Parametres!$B$104,0)</f>
        <v>2</v>
      </c>
      <c r="K8" s="31" t="n">
        <f aca="false">ROUND(J8/Parametres!$B$46,1)</f>
        <v>0.5</v>
      </c>
      <c r="L8" s="32" t="n">
        <f aca="false">ROUND(K8/4.345,1)</f>
        <v>0.1</v>
      </c>
      <c r="M8" s="33"/>
    </row>
    <row r="9" customFormat="false" ht="15" hidden="false" customHeight="true" outlineLevel="0" collapsed="false">
      <c r="A9" s="20" t="n">
        <v>5</v>
      </c>
      <c r="B9" s="21" t="n">
        <f aca="false">IF(A9=1,0,IF(A9-1&lt;=Parametres!$B$10,ROUND(Parametres!$B$8*(A9-1)^Parametres!$B$9,0),ROUND(Parametres!$B$8*Parametres!$B$10^Parametres!$B$9+Parametres!$B$11*(A9-1-Parametres!$B$10),0)))</f>
        <v>400</v>
      </c>
      <c r="C9" s="22" t="n">
        <f aca="false">C8+B9</f>
        <v>851</v>
      </c>
      <c r="D9" s="21" t="n">
        <f aca="false">Parametres!$B$15+Parametres!$B$16*(A9-1)</f>
        <v>240</v>
      </c>
      <c r="E9" s="21" t="n">
        <f aca="false">Parametres!$B$17+Parametres!$B$18*(A9-1)</f>
        <v>34</v>
      </c>
      <c r="F9" s="21" t="n">
        <f aca="false">Parametres!$B$19+Parametres!$B$20*(A9-1)</f>
        <v>15</v>
      </c>
      <c r="G9" s="23" t="n">
        <f aca="false">Parametres!$B$21+Parametres!$B$22*(A9/(A9+Parametres!$B$23))</f>
        <v>0.08</v>
      </c>
      <c r="H9" s="21" t="n">
        <f aca="false">IF(A9=1,0,Parametres!$B$70+Parametres!$B$71*INT(A9/5))</f>
        <v>4</v>
      </c>
      <c r="I9" s="22" t="n">
        <f aca="false">I8+H9</f>
        <v>13</v>
      </c>
      <c r="J9" s="21" t="n">
        <f aca="false">ROUND(C9/Parametres!$B$104,0)</f>
        <v>4</v>
      </c>
      <c r="K9" s="24" t="n">
        <f aca="false">ROUND(J9/Parametres!$B$46,1)</f>
        <v>1</v>
      </c>
      <c r="L9" s="25" t="n">
        <f aca="false">ROUND(K9/4.345,1)</f>
        <v>0.2</v>
      </c>
      <c r="M9" s="26" t="s">
        <v>300</v>
      </c>
    </row>
    <row r="10" customFormat="false" ht="15" hidden="false" customHeight="true" outlineLevel="0" collapsed="false">
      <c r="A10" s="27" t="n">
        <v>6</v>
      </c>
      <c r="B10" s="28" t="n">
        <f aca="false">IF(A10=1,0,IF(A10-1&lt;=Parametres!$B$10,ROUND(Parametres!$B$8*(A10-1)^Parametres!$B$9,0),ROUND(Parametres!$B$8*Parametres!$B$10^Parametres!$B$9+Parametres!$B$11*(A10-1-Parametres!$B$10),0)))</f>
        <v>559</v>
      </c>
      <c r="C10" s="29" t="n">
        <f aca="false">C9+B10</f>
        <v>1410</v>
      </c>
      <c r="D10" s="28" t="n">
        <f aca="false">Parametres!$B$15+Parametres!$B$16*(A10-1)</f>
        <v>275</v>
      </c>
      <c r="E10" s="28" t="n">
        <f aca="false">Parametres!$B$17+Parametres!$B$18*(A10-1)</f>
        <v>40</v>
      </c>
      <c r="F10" s="28" t="n">
        <f aca="false">Parametres!$B$19+Parametres!$B$20*(A10-1)</f>
        <v>17.5</v>
      </c>
      <c r="G10" s="30" t="n">
        <f aca="false">Parametres!$B$21+Parametres!$B$22*(A10/(A10+Parametres!$B$23))</f>
        <v>0.0846153846153846</v>
      </c>
      <c r="H10" s="28" t="n">
        <f aca="false">IF(A10=1,0,Parametres!$B$70+Parametres!$B$71*INT(A10/5))</f>
        <v>4</v>
      </c>
      <c r="I10" s="29" t="n">
        <f aca="false">I9+H10</f>
        <v>17</v>
      </c>
      <c r="J10" s="28" t="n">
        <f aca="false">ROUND(C10/Parametres!$B$104,0)</f>
        <v>7</v>
      </c>
      <c r="K10" s="31" t="n">
        <f aca="false">ROUND(J10/Parametres!$B$46,1)</f>
        <v>1.8</v>
      </c>
      <c r="L10" s="32" t="n">
        <f aca="false">ROUND(K10/4.345,1)</f>
        <v>0.4</v>
      </c>
      <c r="M10" s="33"/>
    </row>
    <row r="11" customFormat="false" ht="15" hidden="false" customHeight="true" outlineLevel="0" collapsed="false">
      <c r="A11" s="20" t="n">
        <v>7</v>
      </c>
      <c r="B11" s="21" t="n">
        <f aca="false">IF(A11=1,0,IF(A11-1&lt;=Parametres!$B$10,ROUND(Parametres!$B$8*(A11-1)^Parametres!$B$9,0),ROUND(Parametres!$B$8*Parametres!$B$10^Parametres!$B$9+Parametres!$B$11*(A11-1-Parametres!$B$10),0)))</f>
        <v>735</v>
      </c>
      <c r="C11" s="22" t="n">
        <f aca="false">C10+B11</f>
        <v>2145</v>
      </c>
      <c r="D11" s="21" t="n">
        <f aca="false">Parametres!$B$15+Parametres!$B$16*(A11-1)</f>
        <v>310</v>
      </c>
      <c r="E11" s="21" t="n">
        <f aca="false">Parametres!$B$17+Parametres!$B$18*(A11-1)</f>
        <v>46</v>
      </c>
      <c r="F11" s="21" t="n">
        <f aca="false">Parametres!$B$19+Parametres!$B$20*(A11-1)</f>
        <v>20</v>
      </c>
      <c r="G11" s="23" t="n">
        <f aca="false">Parametres!$B$21+Parametres!$B$22*(A11/(A11+Parametres!$B$23))</f>
        <v>0.0888888888888889</v>
      </c>
      <c r="H11" s="21" t="n">
        <f aca="false">IF(A11=1,0,Parametres!$B$70+Parametres!$B$71*INT(A11/5))</f>
        <v>4</v>
      </c>
      <c r="I11" s="22" t="n">
        <f aca="false">I10+H11</f>
        <v>21</v>
      </c>
      <c r="J11" s="21" t="n">
        <f aca="false">ROUND(C11/Parametres!$B$104,0)</f>
        <v>11</v>
      </c>
      <c r="K11" s="24" t="n">
        <f aca="false">ROUND(J11/Parametres!$B$46,1)</f>
        <v>2.8</v>
      </c>
      <c r="L11" s="25" t="n">
        <f aca="false">ROUND(K11/4.345,1)</f>
        <v>0.6</v>
      </c>
      <c r="M11" s="34"/>
    </row>
    <row r="12" customFormat="false" ht="15" hidden="false" customHeight="true" outlineLevel="0" collapsed="false">
      <c r="A12" s="27" t="n">
        <v>8</v>
      </c>
      <c r="B12" s="28" t="n">
        <f aca="false">IF(A12=1,0,IF(A12-1&lt;=Parametres!$B$10,ROUND(Parametres!$B$8*(A12-1)^Parametres!$B$9,0),ROUND(Parametres!$B$8*Parametres!$B$10^Parametres!$B$9+Parametres!$B$11*(A12-1-Parametres!$B$10),0)))</f>
        <v>926</v>
      </c>
      <c r="C12" s="29" t="n">
        <f aca="false">C11+B12</f>
        <v>3071</v>
      </c>
      <c r="D12" s="28" t="n">
        <f aca="false">Parametres!$B$15+Parametres!$B$16*(A12-1)</f>
        <v>345</v>
      </c>
      <c r="E12" s="28" t="n">
        <f aca="false">Parametres!$B$17+Parametres!$B$18*(A12-1)</f>
        <v>52</v>
      </c>
      <c r="F12" s="28" t="n">
        <f aca="false">Parametres!$B$19+Parametres!$B$20*(A12-1)</f>
        <v>22.5</v>
      </c>
      <c r="G12" s="30" t="n">
        <f aca="false">Parametres!$B$21+Parametres!$B$22*(A12/(A12+Parametres!$B$23))</f>
        <v>0.0928571428571429</v>
      </c>
      <c r="H12" s="28" t="n">
        <f aca="false">IF(A12=1,0,Parametres!$B$70+Parametres!$B$71*INT(A12/5))</f>
        <v>4</v>
      </c>
      <c r="I12" s="29" t="n">
        <f aca="false">I11+H12</f>
        <v>25</v>
      </c>
      <c r="J12" s="28" t="n">
        <f aca="false">ROUND(C12/Parametres!$B$104,0)</f>
        <v>16</v>
      </c>
      <c r="K12" s="31" t="n">
        <f aca="false">ROUND(J12/Parametres!$B$46,1)</f>
        <v>4</v>
      </c>
      <c r="L12" s="32" t="n">
        <f aca="false">ROUND(K12/4.345,1)</f>
        <v>0.9</v>
      </c>
      <c r="M12" s="33"/>
    </row>
    <row r="13" customFormat="false" ht="15" hidden="false" customHeight="true" outlineLevel="0" collapsed="false">
      <c r="A13" s="20" t="n">
        <v>9</v>
      </c>
      <c r="B13" s="21" t="n">
        <f aca="false">IF(A13=1,0,IF(A13-1&lt;=Parametres!$B$10,ROUND(Parametres!$B$8*(A13-1)^Parametres!$B$9,0),ROUND(Parametres!$B$8*Parametres!$B$10^Parametres!$B$9+Parametres!$B$11*(A13-1-Parametres!$B$10),0)))</f>
        <v>1131</v>
      </c>
      <c r="C13" s="22" t="n">
        <f aca="false">C12+B13</f>
        <v>4202</v>
      </c>
      <c r="D13" s="21" t="n">
        <f aca="false">Parametres!$B$15+Parametres!$B$16*(A13-1)</f>
        <v>380</v>
      </c>
      <c r="E13" s="21" t="n">
        <f aca="false">Parametres!$B$17+Parametres!$B$18*(A13-1)</f>
        <v>58</v>
      </c>
      <c r="F13" s="21" t="n">
        <f aca="false">Parametres!$B$19+Parametres!$B$20*(A13-1)</f>
        <v>25</v>
      </c>
      <c r="G13" s="23" t="n">
        <f aca="false">Parametres!$B$21+Parametres!$B$22*(A13/(A13+Parametres!$B$23))</f>
        <v>0.096551724137931</v>
      </c>
      <c r="H13" s="21" t="n">
        <f aca="false">IF(A13=1,0,Parametres!$B$70+Parametres!$B$71*INT(A13/5))</f>
        <v>4</v>
      </c>
      <c r="I13" s="22" t="n">
        <f aca="false">I12+H13</f>
        <v>29</v>
      </c>
      <c r="J13" s="21" t="n">
        <f aca="false">ROUND(C13/Parametres!$B$104,0)</f>
        <v>22</v>
      </c>
      <c r="K13" s="24" t="n">
        <f aca="false">ROUND(J13/Parametres!$B$46,1)</f>
        <v>5.5</v>
      </c>
      <c r="L13" s="25" t="n">
        <f aca="false">ROUND(K13/4.345,1)</f>
        <v>1.3</v>
      </c>
      <c r="M13" s="34"/>
    </row>
    <row r="14" customFormat="false" ht="15" hidden="false" customHeight="true" outlineLevel="0" collapsed="false">
      <c r="A14" s="27" t="n">
        <v>10</v>
      </c>
      <c r="B14" s="28" t="n">
        <f aca="false">IF(A14=1,0,IF(A14-1&lt;=Parametres!$B$10,ROUND(Parametres!$B$8*(A14-1)^Parametres!$B$9,0),ROUND(Parametres!$B$8*Parametres!$B$10^Parametres!$B$9+Parametres!$B$11*(A14-1-Parametres!$B$10),0)))</f>
        <v>1350</v>
      </c>
      <c r="C14" s="29" t="n">
        <f aca="false">C13+B14</f>
        <v>5552</v>
      </c>
      <c r="D14" s="28" t="n">
        <f aca="false">Parametres!$B$15+Parametres!$B$16*(A14-1)</f>
        <v>415</v>
      </c>
      <c r="E14" s="28" t="n">
        <f aca="false">Parametres!$B$17+Parametres!$B$18*(A14-1)</f>
        <v>64</v>
      </c>
      <c r="F14" s="28" t="n">
        <f aca="false">Parametres!$B$19+Parametres!$B$20*(A14-1)</f>
        <v>27.5</v>
      </c>
      <c r="G14" s="30" t="n">
        <f aca="false">Parametres!$B$21+Parametres!$B$22*(A14/(A14+Parametres!$B$23))</f>
        <v>0.1</v>
      </c>
      <c r="H14" s="28" t="n">
        <f aca="false">IF(A14=1,0,Parametres!$B$70+Parametres!$B$71*INT(A14/5))</f>
        <v>5</v>
      </c>
      <c r="I14" s="29" t="n">
        <f aca="false">I13+H14</f>
        <v>34</v>
      </c>
      <c r="J14" s="28" t="n">
        <f aca="false">ROUND(C14/Parametres!$B$104,0)</f>
        <v>29</v>
      </c>
      <c r="K14" s="31" t="n">
        <f aca="false">ROUND(J14/Parametres!$B$46,1)</f>
        <v>7.3</v>
      </c>
      <c r="L14" s="32" t="n">
        <f aca="false">ROUND(K14/4.345,1)</f>
        <v>1.7</v>
      </c>
      <c r="M14" s="35" t="s">
        <v>301</v>
      </c>
    </row>
    <row r="15" customFormat="false" ht="15" hidden="false" customHeight="true" outlineLevel="0" collapsed="false">
      <c r="A15" s="20" t="n">
        <v>11</v>
      </c>
      <c r="B15" s="21" t="n">
        <f aca="false">IF(A15=1,0,IF(A15-1&lt;=Parametres!$B$10,ROUND(Parametres!$B$8*(A15-1)^Parametres!$B$9,0),ROUND(Parametres!$B$8*Parametres!$B$10^Parametres!$B$9+Parametres!$B$11*(A15-1-Parametres!$B$10),0)))</f>
        <v>1581</v>
      </c>
      <c r="C15" s="22" t="n">
        <f aca="false">C14+B15</f>
        <v>7133</v>
      </c>
      <c r="D15" s="21" t="n">
        <f aca="false">Parametres!$B$15+Parametres!$B$16*(A15-1)</f>
        <v>450</v>
      </c>
      <c r="E15" s="21" t="n">
        <f aca="false">Parametres!$B$17+Parametres!$B$18*(A15-1)</f>
        <v>70</v>
      </c>
      <c r="F15" s="21" t="n">
        <f aca="false">Parametres!$B$19+Parametres!$B$20*(A15-1)</f>
        <v>30</v>
      </c>
      <c r="G15" s="23" t="n">
        <f aca="false">Parametres!$B$21+Parametres!$B$22*(A15/(A15+Parametres!$B$23))</f>
        <v>0.103225806451613</v>
      </c>
      <c r="H15" s="21" t="n">
        <f aca="false">IF(A15=1,0,Parametres!$B$70+Parametres!$B$71*INT(A15/5))</f>
        <v>5</v>
      </c>
      <c r="I15" s="22" t="n">
        <f aca="false">I14+H15</f>
        <v>39</v>
      </c>
      <c r="J15" s="21" t="n">
        <f aca="false">ROUND(C15/Parametres!$B$104,0)</f>
        <v>37</v>
      </c>
      <c r="K15" s="24" t="n">
        <f aca="false">ROUND(J15/Parametres!$B$46,1)</f>
        <v>9.3</v>
      </c>
      <c r="L15" s="25" t="n">
        <f aca="false">ROUND(K15/4.345,1)</f>
        <v>2.1</v>
      </c>
      <c r="M15" s="34"/>
    </row>
    <row r="16" customFormat="false" ht="15" hidden="false" customHeight="true" outlineLevel="0" collapsed="false">
      <c r="A16" s="27" t="n">
        <v>12</v>
      </c>
      <c r="B16" s="28" t="n">
        <f aca="false">IF(A16=1,0,IF(A16-1&lt;=Parametres!$B$10,ROUND(Parametres!$B$8*(A16-1)^Parametres!$B$9,0),ROUND(Parametres!$B$8*Parametres!$B$10^Parametres!$B$9+Parametres!$B$11*(A16-1-Parametres!$B$10),0)))</f>
        <v>1824</v>
      </c>
      <c r="C16" s="29" t="n">
        <f aca="false">C15+B16</f>
        <v>8957</v>
      </c>
      <c r="D16" s="28" t="n">
        <f aca="false">Parametres!$B$15+Parametres!$B$16*(A16-1)</f>
        <v>485</v>
      </c>
      <c r="E16" s="28" t="n">
        <f aca="false">Parametres!$B$17+Parametres!$B$18*(A16-1)</f>
        <v>76</v>
      </c>
      <c r="F16" s="28" t="n">
        <f aca="false">Parametres!$B$19+Parametres!$B$20*(A16-1)</f>
        <v>32.5</v>
      </c>
      <c r="G16" s="30" t="n">
        <f aca="false">Parametres!$B$21+Parametres!$B$22*(A16/(A16+Parametres!$B$23))</f>
        <v>0.10625</v>
      </c>
      <c r="H16" s="28" t="n">
        <f aca="false">IF(A16=1,0,Parametres!$B$70+Parametres!$B$71*INT(A16/5))</f>
        <v>5</v>
      </c>
      <c r="I16" s="29" t="n">
        <f aca="false">I15+H16</f>
        <v>44</v>
      </c>
      <c r="J16" s="28" t="n">
        <f aca="false">ROUND(C16/Parametres!$B$104,0)</f>
        <v>46</v>
      </c>
      <c r="K16" s="31" t="n">
        <f aca="false">ROUND(J16/Parametres!$B$46,1)</f>
        <v>11.5</v>
      </c>
      <c r="L16" s="32" t="n">
        <f aca="false">ROUND(K16/4.345,1)</f>
        <v>2.6</v>
      </c>
      <c r="M16" s="33"/>
    </row>
    <row r="17" customFormat="false" ht="15" hidden="false" customHeight="true" outlineLevel="0" collapsed="false">
      <c r="A17" s="20" t="n">
        <v>13</v>
      </c>
      <c r="B17" s="21" t="n">
        <f aca="false">IF(A17=1,0,IF(A17-1&lt;=Parametres!$B$10,ROUND(Parametres!$B$8*(A17-1)^Parametres!$B$9,0),ROUND(Parametres!$B$8*Parametres!$B$10^Parametres!$B$9+Parametres!$B$11*(A17-1-Parametres!$B$10),0)))</f>
        <v>2078</v>
      </c>
      <c r="C17" s="22" t="n">
        <f aca="false">C16+B17</f>
        <v>11035</v>
      </c>
      <c r="D17" s="21" t="n">
        <f aca="false">Parametres!$B$15+Parametres!$B$16*(A17-1)</f>
        <v>520</v>
      </c>
      <c r="E17" s="21" t="n">
        <f aca="false">Parametres!$B$17+Parametres!$B$18*(A17-1)</f>
        <v>82</v>
      </c>
      <c r="F17" s="21" t="n">
        <f aca="false">Parametres!$B$19+Parametres!$B$20*(A17-1)</f>
        <v>35</v>
      </c>
      <c r="G17" s="23" t="n">
        <f aca="false">Parametres!$B$21+Parametres!$B$22*(A17/(A17+Parametres!$B$23))</f>
        <v>0.109090909090909</v>
      </c>
      <c r="H17" s="21" t="n">
        <f aca="false">IF(A17=1,0,Parametres!$B$70+Parametres!$B$71*INT(A17/5))</f>
        <v>5</v>
      </c>
      <c r="I17" s="22" t="n">
        <f aca="false">I16+H17</f>
        <v>49</v>
      </c>
      <c r="J17" s="21" t="n">
        <f aca="false">ROUND(C17/Parametres!$B$104,0)</f>
        <v>57</v>
      </c>
      <c r="K17" s="24" t="n">
        <f aca="false">ROUND(J17/Parametres!$B$46,1)</f>
        <v>14.3</v>
      </c>
      <c r="L17" s="25" t="n">
        <f aca="false">ROUND(K17/4.345,1)</f>
        <v>3.3</v>
      </c>
      <c r="M17" s="34"/>
    </row>
    <row r="18" customFormat="false" ht="15" hidden="false" customHeight="true" outlineLevel="0" collapsed="false">
      <c r="A18" s="27" t="n">
        <v>14</v>
      </c>
      <c r="B18" s="28" t="n">
        <f aca="false">IF(A18=1,0,IF(A18-1&lt;=Parametres!$B$10,ROUND(Parametres!$B$8*(A18-1)^Parametres!$B$9,0),ROUND(Parametres!$B$8*Parametres!$B$10^Parametres!$B$9+Parametres!$B$11*(A18-1-Parametres!$B$10),0)))</f>
        <v>2344</v>
      </c>
      <c r="C18" s="29" t="n">
        <f aca="false">C17+B18</f>
        <v>13379</v>
      </c>
      <c r="D18" s="28" t="n">
        <f aca="false">Parametres!$B$15+Parametres!$B$16*(A18-1)</f>
        <v>555</v>
      </c>
      <c r="E18" s="28" t="n">
        <f aca="false">Parametres!$B$17+Parametres!$B$18*(A18-1)</f>
        <v>88</v>
      </c>
      <c r="F18" s="28" t="n">
        <f aca="false">Parametres!$B$19+Parametres!$B$20*(A18-1)</f>
        <v>37.5</v>
      </c>
      <c r="G18" s="30" t="n">
        <f aca="false">Parametres!$B$21+Parametres!$B$22*(A18/(A18+Parametres!$B$23))</f>
        <v>0.111764705882353</v>
      </c>
      <c r="H18" s="28" t="n">
        <f aca="false">IF(A18=1,0,Parametres!$B$70+Parametres!$B$71*INT(A18/5))</f>
        <v>5</v>
      </c>
      <c r="I18" s="29" t="n">
        <f aca="false">I17+H18</f>
        <v>54</v>
      </c>
      <c r="J18" s="28" t="n">
        <f aca="false">ROUND(C18/Parametres!$B$104,0)</f>
        <v>69</v>
      </c>
      <c r="K18" s="31" t="n">
        <f aca="false">ROUND(J18/Parametres!$B$46,1)</f>
        <v>17.3</v>
      </c>
      <c r="L18" s="32" t="n">
        <f aca="false">ROUND(K18/4.345,1)</f>
        <v>4</v>
      </c>
      <c r="M18" s="33"/>
    </row>
    <row r="19" customFormat="false" ht="15" hidden="false" customHeight="true" outlineLevel="0" collapsed="false">
      <c r="A19" s="20" t="n">
        <v>15</v>
      </c>
      <c r="B19" s="21" t="n">
        <f aca="false">IF(A19=1,0,IF(A19-1&lt;=Parametres!$B$10,ROUND(Parametres!$B$8*(A19-1)^Parametres!$B$9,0),ROUND(Parametres!$B$8*Parametres!$B$10^Parametres!$B$9+Parametres!$B$11*(A19-1-Parametres!$B$10),0)))</f>
        <v>2619</v>
      </c>
      <c r="C19" s="22" t="n">
        <f aca="false">C18+B19</f>
        <v>15998</v>
      </c>
      <c r="D19" s="21" t="n">
        <f aca="false">Parametres!$B$15+Parametres!$B$16*(A19-1)</f>
        <v>590</v>
      </c>
      <c r="E19" s="21" t="n">
        <f aca="false">Parametres!$B$17+Parametres!$B$18*(A19-1)</f>
        <v>94</v>
      </c>
      <c r="F19" s="21" t="n">
        <f aca="false">Parametres!$B$19+Parametres!$B$20*(A19-1)</f>
        <v>40</v>
      </c>
      <c r="G19" s="23" t="n">
        <f aca="false">Parametres!$B$21+Parametres!$B$22*(A19/(A19+Parametres!$B$23))</f>
        <v>0.114285714285714</v>
      </c>
      <c r="H19" s="21" t="n">
        <f aca="false">IF(A19=1,0,Parametres!$B$70+Parametres!$B$71*INT(A19/5))</f>
        <v>6</v>
      </c>
      <c r="I19" s="22" t="n">
        <f aca="false">I18+H19</f>
        <v>60</v>
      </c>
      <c r="J19" s="21" t="n">
        <f aca="false">ROUND(C19/Parametres!$B$104,0)</f>
        <v>83</v>
      </c>
      <c r="K19" s="24" t="n">
        <f aca="false">ROUND(J19/Parametres!$B$46,1)</f>
        <v>20.8</v>
      </c>
      <c r="L19" s="25" t="n">
        <f aca="false">ROUND(K19/4.345,1)</f>
        <v>4.8</v>
      </c>
      <c r="M19" s="26" t="s">
        <v>302</v>
      </c>
    </row>
    <row r="20" customFormat="false" ht="15" hidden="false" customHeight="true" outlineLevel="0" collapsed="false">
      <c r="A20" s="27" t="n">
        <v>16</v>
      </c>
      <c r="B20" s="28" t="n">
        <f aca="false">IF(A20=1,0,IF(A20-1&lt;=Parametres!$B$10,ROUND(Parametres!$B$8*(A20-1)^Parametres!$B$9,0),ROUND(Parametres!$B$8*Parametres!$B$10^Parametres!$B$9+Parametres!$B$11*(A20-1-Parametres!$B$10),0)))</f>
        <v>2905</v>
      </c>
      <c r="C20" s="29" t="n">
        <f aca="false">C19+B20</f>
        <v>18903</v>
      </c>
      <c r="D20" s="28" t="n">
        <f aca="false">Parametres!$B$15+Parametres!$B$16*(A20-1)</f>
        <v>625</v>
      </c>
      <c r="E20" s="28" t="n">
        <f aca="false">Parametres!$B$17+Parametres!$B$18*(A20-1)</f>
        <v>100</v>
      </c>
      <c r="F20" s="28" t="n">
        <f aca="false">Parametres!$B$19+Parametres!$B$20*(A20-1)</f>
        <v>42.5</v>
      </c>
      <c r="G20" s="30" t="n">
        <f aca="false">Parametres!$B$21+Parametres!$B$22*(A20/(A20+Parametres!$B$23))</f>
        <v>0.116666666666667</v>
      </c>
      <c r="H20" s="28" t="n">
        <f aca="false">IF(A20=1,0,Parametres!$B$70+Parametres!$B$71*INT(A20/5))</f>
        <v>6</v>
      </c>
      <c r="I20" s="29" t="n">
        <f aca="false">I19+H20</f>
        <v>66</v>
      </c>
      <c r="J20" s="28" t="n">
        <f aca="false">ROUND(C20/Parametres!$B$104,0)</f>
        <v>98</v>
      </c>
      <c r="K20" s="31" t="n">
        <f aca="false">ROUND(J20/Parametres!$B$46,1)</f>
        <v>24.5</v>
      </c>
      <c r="L20" s="32" t="n">
        <f aca="false">ROUND(K20/4.345,1)</f>
        <v>5.6</v>
      </c>
      <c r="M20" s="33"/>
    </row>
    <row r="21" customFormat="false" ht="15" hidden="false" customHeight="true" outlineLevel="0" collapsed="false">
      <c r="A21" s="20" t="n">
        <v>17</v>
      </c>
      <c r="B21" s="21" t="n">
        <f aca="false">IF(A21=1,0,IF(A21-1&lt;=Parametres!$B$10,ROUND(Parametres!$B$8*(A21-1)^Parametres!$B$9,0),ROUND(Parametres!$B$8*Parametres!$B$10^Parametres!$B$9+Parametres!$B$11*(A21-1-Parametres!$B$10),0)))</f>
        <v>3200</v>
      </c>
      <c r="C21" s="22" t="n">
        <f aca="false">C20+B21</f>
        <v>22103</v>
      </c>
      <c r="D21" s="21" t="n">
        <f aca="false">Parametres!$B$15+Parametres!$B$16*(A21-1)</f>
        <v>660</v>
      </c>
      <c r="E21" s="21" t="n">
        <f aca="false">Parametres!$B$17+Parametres!$B$18*(A21-1)</f>
        <v>106</v>
      </c>
      <c r="F21" s="21" t="n">
        <f aca="false">Parametres!$B$19+Parametres!$B$20*(A21-1)</f>
        <v>45</v>
      </c>
      <c r="G21" s="23" t="n">
        <f aca="false">Parametres!$B$21+Parametres!$B$22*(A21/(A21+Parametres!$B$23))</f>
        <v>0.118918918918919</v>
      </c>
      <c r="H21" s="21" t="n">
        <f aca="false">IF(A21=1,0,Parametres!$B$70+Parametres!$B$71*INT(A21/5))</f>
        <v>6</v>
      </c>
      <c r="I21" s="22" t="n">
        <f aca="false">I20+H21</f>
        <v>72</v>
      </c>
      <c r="J21" s="21" t="n">
        <f aca="false">ROUND(C21/Parametres!$B$104,0)</f>
        <v>115</v>
      </c>
      <c r="K21" s="24" t="n">
        <f aca="false">ROUND(J21/Parametres!$B$46,1)</f>
        <v>28.8</v>
      </c>
      <c r="L21" s="25" t="n">
        <f aca="false">ROUND(K21/4.345,1)</f>
        <v>6.6</v>
      </c>
      <c r="M21" s="34"/>
    </row>
    <row r="22" customFormat="false" ht="15" hidden="false" customHeight="true" outlineLevel="0" collapsed="false">
      <c r="A22" s="27" t="n">
        <v>18</v>
      </c>
      <c r="B22" s="28" t="n">
        <f aca="false">IF(A22=1,0,IF(A22-1&lt;=Parametres!$B$10,ROUND(Parametres!$B$8*(A22-1)^Parametres!$B$9,0),ROUND(Parametres!$B$8*Parametres!$B$10^Parametres!$B$9+Parametres!$B$11*(A22-1-Parametres!$B$10),0)))</f>
        <v>3505</v>
      </c>
      <c r="C22" s="29" t="n">
        <f aca="false">C21+B22</f>
        <v>25608</v>
      </c>
      <c r="D22" s="28" t="n">
        <f aca="false">Parametres!$B$15+Parametres!$B$16*(A22-1)</f>
        <v>695</v>
      </c>
      <c r="E22" s="28" t="n">
        <f aca="false">Parametres!$B$17+Parametres!$B$18*(A22-1)</f>
        <v>112</v>
      </c>
      <c r="F22" s="28" t="n">
        <f aca="false">Parametres!$B$19+Parametres!$B$20*(A22-1)</f>
        <v>47.5</v>
      </c>
      <c r="G22" s="30" t="n">
        <f aca="false">Parametres!$B$21+Parametres!$B$22*(A22/(A22+Parametres!$B$23))</f>
        <v>0.121052631578947</v>
      </c>
      <c r="H22" s="28" t="n">
        <f aca="false">IF(A22=1,0,Parametres!$B$70+Parametres!$B$71*INT(A22/5))</f>
        <v>6</v>
      </c>
      <c r="I22" s="29" t="n">
        <f aca="false">I21+H22</f>
        <v>78</v>
      </c>
      <c r="J22" s="28" t="n">
        <f aca="false">ROUND(C22/Parametres!$B$104,0)</f>
        <v>133</v>
      </c>
      <c r="K22" s="31" t="n">
        <f aca="false">ROUND(J22/Parametres!$B$46,1)</f>
        <v>33.3</v>
      </c>
      <c r="L22" s="32" t="n">
        <f aca="false">ROUND(K22/4.345,1)</f>
        <v>7.7</v>
      </c>
      <c r="M22" s="33"/>
    </row>
    <row r="23" customFormat="false" ht="15" hidden="false" customHeight="true" outlineLevel="0" collapsed="false">
      <c r="A23" s="20" t="n">
        <v>19</v>
      </c>
      <c r="B23" s="21" t="n">
        <f aca="false">IF(A23=1,0,IF(A23-1&lt;=Parametres!$B$10,ROUND(Parametres!$B$8*(A23-1)^Parametres!$B$9,0),ROUND(Parametres!$B$8*Parametres!$B$10^Parametres!$B$9+Parametres!$B$11*(A23-1-Parametres!$B$10),0)))</f>
        <v>3818</v>
      </c>
      <c r="C23" s="22" t="n">
        <f aca="false">C22+B23</f>
        <v>29426</v>
      </c>
      <c r="D23" s="21" t="n">
        <f aca="false">Parametres!$B$15+Parametres!$B$16*(A23-1)</f>
        <v>730</v>
      </c>
      <c r="E23" s="21" t="n">
        <f aca="false">Parametres!$B$17+Parametres!$B$18*(A23-1)</f>
        <v>118</v>
      </c>
      <c r="F23" s="21" t="n">
        <f aca="false">Parametres!$B$19+Parametres!$B$20*(A23-1)</f>
        <v>50</v>
      </c>
      <c r="G23" s="23" t="n">
        <f aca="false">Parametres!$B$21+Parametres!$B$22*(A23/(A23+Parametres!$B$23))</f>
        <v>0.123076923076923</v>
      </c>
      <c r="H23" s="21" t="n">
        <f aca="false">IF(A23=1,0,Parametres!$B$70+Parametres!$B$71*INT(A23/5))</f>
        <v>6</v>
      </c>
      <c r="I23" s="22" t="n">
        <f aca="false">I22+H23</f>
        <v>84</v>
      </c>
      <c r="J23" s="21" t="n">
        <f aca="false">ROUND(C23/Parametres!$B$104,0)</f>
        <v>152</v>
      </c>
      <c r="K23" s="24" t="n">
        <f aca="false">ROUND(J23/Parametres!$B$46,1)</f>
        <v>38</v>
      </c>
      <c r="L23" s="25" t="n">
        <f aca="false">ROUND(K23/4.345,1)</f>
        <v>8.7</v>
      </c>
      <c r="M23" s="34"/>
    </row>
    <row r="24" customFormat="false" ht="15" hidden="false" customHeight="true" outlineLevel="0" collapsed="false">
      <c r="A24" s="27" t="n">
        <v>20</v>
      </c>
      <c r="B24" s="28" t="n">
        <f aca="false">IF(A24=1,0,IF(A24-1&lt;=Parametres!$B$10,ROUND(Parametres!$B$8*(A24-1)^Parametres!$B$9,0),ROUND(Parametres!$B$8*Parametres!$B$10^Parametres!$B$9+Parametres!$B$11*(A24-1-Parametres!$B$10),0)))</f>
        <v>4141</v>
      </c>
      <c r="C24" s="29" t="n">
        <f aca="false">C23+B24</f>
        <v>33567</v>
      </c>
      <c r="D24" s="28" t="n">
        <f aca="false">Parametres!$B$15+Parametres!$B$16*(A24-1)</f>
        <v>765</v>
      </c>
      <c r="E24" s="28" t="n">
        <f aca="false">Parametres!$B$17+Parametres!$B$18*(A24-1)</f>
        <v>124</v>
      </c>
      <c r="F24" s="28" t="n">
        <f aca="false">Parametres!$B$19+Parametres!$B$20*(A24-1)</f>
        <v>52.5</v>
      </c>
      <c r="G24" s="30" t="n">
        <f aca="false">Parametres!$B$21+Parametres!$B$22*(A24/(A24+Parametres!$B$23))</f>
        <v>0.125</v>
      </c>
      <c r="H24" s="28" t="n">
        <f aca="false">IF(A24=1,0,Parametres!$B$70+Parametres!$B$71*INT(A24/5))</f>
        <v>7</v>
      </c>
      <c r="I24" s="29" t="n">
        <f aca="false">I23+H24</f>
        <v>91</v>
      </c>
      <c r="J24" s="28" t="n">
        <f aca="false">ROUND(C24/Parametres!$B$104,0)</f>
        <v>174</v>
      </c>
      <c r="K24" s="31" t="n">
        <f aca="false">ROUND(J24/Parametres!$B$46,1)</f>
        <v>43.5</v>
      </c>
      <c r="L24" s="32" t="n">
        <f aca="false">ROUND(K24/4.345,1)</f>
        <v>10</v>
      </c>
      <c r="M24" s="33"/>
    </row>
    <row r="25" customFormat="false" ht="15" hidden="false" customHeight="true" outlineLevel="0" collapsed="false">
      <c r="A25" s="20" t="n">
        <v>21</v>
      </c>
      <c r="B25" s="21" t="n">
        <f aca="false">IF(A25=1,0,IF(A25-1&lt;=Parametres!$B$10,ROUND(Parametres!$B$8*(A25-1)^Parametres!$B$9,0),ROUND(Parametres!$B$8*Parametres!$B$10^Parametres!$B$9+Parametres!$B$11*(A25-1-Parametres!$B$10),0)))</f>
        <v>4472</v>
      </c>
      <c r="C25" s="22" t="n">
        <f aca="false">C24+B25</f>
        <v>38039</v>
      </c>
      <c r="D25" s="21" t="n">
        <f aca="false">Parametres!$B$15+Parametres!$B$16*(A25-1)</f>
        <v>800</v>
      </c>
      <c r="E25" s="21" t="n">
        <f aca="false">Parametres!$B$17+Parametres!$B$18*(A25-1)</f>
        <v>130</v>
      </c>
      <c r="F25" s="21" t="n">
        <f aca="false">Parametres!$B$19+Parametres!$B$20*(A25-1)</f>
        <v>55</v>
      </c>
      <c r="G25" s="23" t="n">
        <f aca="false">Parametres!$B$21+Parametres!$B$22*(A25/(A25+Parametres!$B$23))</f>
        <v>0.126829268292683</v>
      </c>
      <c r="H25" s="21" t="n">
        <f aca="false">IF(A25=1,0,Parametres!$B$70+Parametres!$B$71*INT(A25/5))</f>
        <v>7</v>
      </c>
      <c r="I25" s="22" t="n">
        <f aca="false">I24+H25</f>
        <v>98</v>
      </c>
      <c r="J25" s="21" t="n">
        <f aca="false">ROUND(C25/Parametres!$B$104,0)</f>
        <v>197</v>
      </c>
      <c r="K25" s="24" t="n">
        <f aca="false">ROUND(J25/Parametres!$B$46,1)</f>
        <v>49.3</v>
      </c>
      <c r="L25" s="25" t="n">
        <f aca="false">ROUND(K25/4.345,1)</f>
        <v>11.3</v>
      </c>
      <c r="M25" s="34"/>
    </row>
    <row r="26" customFormat="false" ht="15" hidden="false" customHeight="true" outlineLevel="0" collapsed="false">
      <c r="A26" s="27" t="n">
        <v>22</v>
      </c>
      <c r="B26" s="28" t="n">
        <f aca="false">IF(A26=1,0,IF(A26-1&lt;=Parametres!$B$10,ROUND(Parametres!$B$8*(A26-1)^Parametres!$B$9,0),ROUND(Parametres!$B$8*Parametres!$B$10^Parametres!$B$9+Parametres!$B$11*(A26-1-Parametres!$B$10),0)))</f>
        <v>4812</v>
      </c>
      <c r="C26" s="29" t="n">
        <f aca="false">C25+B26</f>
        <v>42851</v>
      </c>
      <c r="D26" s="28" t="n">
        <f aca="false">Parametres!$B$15+Parametres!$B$16*(A26-1)</f>
        <v>835</v>
      </c>
      <c r="E26" s="28" t="n">
        <f aca="false">Parametres!$B$17+Parametres!$B$18*(A26-1)</f>
        <v>136</v>
      </c>
      <c r="F26" s="28" t="n">
        <f aca="false">Parametres!$B$19+Parametres!$B$20*(A26-1)</f>
        <v>57.5</v>
      </c>
      <c r="G26" s="30" t="n">
        <f aca="false">Parametres!$B$21+Parametres!$B$22*(A26/(A26+Parametres!$B$23))</f>
        <v>0.128571428571429</v>
      </c>
      <c r="H26" s="28" t="n">
        <f aca="false">IF(A26=1,0,Parametres!$B$70+Parametres!$B$71*INT(A26/5))</f>
        <v>7</v>
      </c>
      <c r="I26" s="29" t="n">
        <f aca="false">I25+H26</f>
        <v>105</v>
      </c>
      <c r="J26" s="28" t="n">
        <f aca="false">ROUND(C26/Parametres!$B$104,0)</f>
        <v>222</v>
      </c>
      <c r="K26" s="31" t="n">
        <f aca="false">ROUND(J26/Parametres!$B$46,1)</f>
        <v>55.5</v>
      </c>
      <c r="L26" s="32" t="n">
        <f aca="false">ROUND(K26/4.345,1)</f>
        <v>12.8</v>
      </c>
      <c r="M26" s="33"/>
    </row>
    <row r="27" customFormat="false" ht="15" hidden="false" customHeight="true" outlineLevel="0" collapsed="false">
      <c r="A27" s="20" t="n">
        <v>23</v>
      </c>
      <c r="B27" s="21" t="n">
        <f aca="false">IF(A27=1,0,IF(A27-1&lt;=Parametres!$B$10,ROUND(Parametres!$B$8*(A27-1)^Parametres!$B$9,0),ROUND(Parametres!$B$8*Parametres!$B$10^Parametres!$B$9+Parametres!$B$11*(A27-1-Parametres!$B$10),0)))</f>
        <v>5159</v>
      </c>
      <c r="C27" s="22" t="n">
        <f aca="false">C26+B27</f>
        <v>48010</v>
      </c>
      <c r="D27" s="21" t="n">
        <f aca="false">Parametres!$B$15+Parametres!$B$16*(A27-1)</f>
        <v>870</v>
      </c>
      <c r="E27" s="21" t="n">
        <f aca="false">Parametres!$B$17+Parametres!$B$18*(A27-1)</f>
        <v>142</v>
      </c>
      <c r="F27" s="21" t="n">
        <f aca="false">Parametres!$B$19+Parametres!$B$20*(A27-1)</f>
        <v>60</v>
      </c>
      <c r="G27" s="23" t="n">
        <f aca="false">Parametres!$B$21+Parametres!$B$22*(A27/(A27+Parametres!$B$23))</f>
        <v>0.130232558139535</v>
      </c>
      <c r="H27" s="21" t="n">
        <f aca="false">IF(A27=1,0,Parametres!$B$70+Parametres!$B$71*INT(A27/5))</f>
        <v>7</v>
      </c>
      <c r="I27" s="22" t="n">
        <f aca="false">I26+H27</f>
        <v>112</v>
      </c>
      <c r="J27" s="21" t="n">
        <f aca="false">ROUND(C27/Parametres!$B$104,0)</f>
        <v>249</v>
      </c>
      <c r="K27" s="24" t="n">
        <f aca="false">ROUND(J27/Parametres!$B$46,1)</f>
        <v>62.3</v>
      </c>
      <c r="L27" s="25" t="n">
        <f aca="false">ROUND(K27/4.345,1)</f>
        <v>14.3</v>
      </c>
      <c r="M27" s="34"/>
    </row>
    <row r="28" customFormat="false" ht="15" hidden="false" customHeight="true" outlineLevel="0" collapsed="false">
      <c r="A28" s="27" t="n">
        <v>24</v>
      </c>
      <c r="B28" s="28" t="n">
        <f aca="false">IF(A28=1,0,IF(A28-1&lt;=Parametres!$B$10,ROUND(Parametres!$B$8*(A28-1)^Parametres!$B$9,0),ROUND(Parametres!$B$8*Parametres!$B$10^Parametres!$B$9+Parametres!$B$11*(A28-1-Parametres!$B$10),0)))</f>
        <v>5515</v>
      </c>
      <c r="C28" s="29" t="n">
        <f aca="false">C27+B28</f>
        <v>53525</v>
      </c>
      <c r="D28" s="28" t="n">
        <f aca="false">Parametres!$B$15+Parametres!$B$16*(A28-1)</f>
        <v>905</v>
      </c>
      <c r="E28" s="28" t="n">
        <f aca="false">Parametres!$B$17+Parametres!$B$18*(A28-1)</f>
        <v>148</v>
      </c>
      <c r="F28" s="28" t="n">
        <f aca="false">Parametres!$B$19+Parametres!$B$20*(A28-1)</f>
        <v>62.5</v>
      </c>
      <c r="G28" s="30" t="n">
        <f aca="false">Parametres!$B$21+Parametres!$B$22*(A28/(A28+Parametres!$B$23))</f>
        <v>0.131818181818182</v>
      </c>
      <c r="H28" s="28" t="n">
        <f aca="false">IF(A28=1,0,Parametres!$B$70+Parametres!$B$71*INT(A28/5))</f>
        <v>7</v>
      </c>
      <c r="I28" s="29" t="n">
        <f aca="false">I27+H28</f>
        <v>119</v>
      </c>
      <c r="J28" s="28" t="n">
        <f aca="false">ROUND(C28/Parametres!$B$104,0)</f>
        <v>277</v>
      </c>
      <c r="K28" s="31" t="n">
        <f aca="false">ROUND(J28/Parametres!$B$46,1)</f>
        <v>69.3</v>
      </c>
      <c r="L28" s="32" t="n">
        <f aca="false">ROUND(K28/4.345,1)</f>
        <v>15.9</v>
      </c>
      <c r="M28" s="33"/>
    </row>
    <row r="29" customFormat="false" ht="15" hidden="false" customHeight="true" outlineLevel="0" collapsed="false">
      <c r="A29" s="20" t="n">
        <v>25</v>
      </c>
      <c r="B29" s="21" t="n">
        <f aca="false">IF(A29=1,0,IF(A29-1&lt;=Parametres!$B$10,ROUND(Parametres!$B$8*(A29-1)^Parametres!$B$9,0),ROUND(Parametres!$B$8*Parametres!$B$10^Parametres!$B$9+Parametres!$B$11*(A29-1-Parametres!$B$10),0)))</f>
        <v>5879</v>
      </c>
      <c r="C29" s="22" t="n">
        <f aca="false">C28+B29</f>
        <v>59404</v>
      </c>
      <c r="D29" s="21" t="n">
        <f aca="false">Parametres!$B$15+Parametres!$B$16*(A29-1)</f>
        <v>940</v>
      </c>
      <c r="E29" s="21" t="n">
        <f aca="false">Parametres!$B$17+Parametres!$B$18*(A29-1)</f>
        <v>154</v>
      </c>
      <c r="F29" s="21" t="n">
        <f aca="false">Parametres!$B$19+Parametres!$B$20*(A29-1)</f>
        <v>65</v>
      </c>
      <c r="G29" s="23" t="n">
        <f aca="false">Parametres!$B$21+Parametres!$B$22*(A29/(A29+Parametres!$B$23))</f>
        <v>0.133333333333333</v>
      </c>
      <c r="H29" s="21" t="n">
        <f aca="false">IF(A29=1,0,Parametres!$B$70+Parametres!$B$71*INT(A29/5))</f>
        <v>8</v>
      </c>
      <c r="I29" s="22" t="n">
        <f aca="false">I28+H29</f>
        <v>127</v>
      </c>
      <c r="J29" s="21" t="n">
        <f aca="false">ROUND(C29/Parametres!$B$104,0)</f>
        <v>308</v>
      </c>
      <c r="K29" s="24" t="n">
        <f aca="false">ROUND(J29/Parametres!$B$46,1)</f>
        <v>77</v>
      </c>
      <c r="L29" s="25" t="n">
        <f aca="false">ROUND(K29/4.345,1)</f>
        <v>17.7</v>
      </c>
      <c r="M29" s="26" t="s">
        <v>303</v>
      </c>
    </row>
    <row r="30" customFormat="false" ht="15" hidden="false" customHeight="true" outlineLevel="0" collapsed="false">
      <c r="A30" s="27" t="n">
        <v>26</v>
      </c>
      <c r="B30" s="28" t="n">
        <f aca="false">IF(A30=1,0,IF(A30-1&lt;=Parametres!$B$10,ROUND(Parametres!$B$8*(A30-1)^Parametres!$B$9,0),ROUND(Parametres!$B$8*Parametres!$B$10^Parametres!$B$9+Parametres!$B$11*(A30-1-Parametres!$B$10),0)))</f>
        <v>6250</v>
      </c>
      <c r="C30" s="29" t="n">
        <f aca="false">C29+B30</f>
        <v>65654</v>
      </c>
      <c r="D30" s="28" t="n">
        <f aca="false">Parametres!$B$15+Parametres!$B$16*(A30-1)</f>
        <v>975</v>
      </c>
      <c r="E30" s="28" t="n">
        <f aca="false">Parametres!$B$17+Parametres!$B$18*(A30-1)</f>
        <v>160</v>
      </c>
      <c r="F30" s="28" t="n">
        <f aca="false">Parametres!$B$19+Parametres!$B$20*(A30-1)</f>
        <v>67.5</v>
      </c>
      <c r="G30" s="30" t="n">
        <f aca="false">Parametres!$B$21+Parametres!$B$22*(A30/(A30+Parametres!$B$23))</f>
        <v>0.134782608695652</v>
      </c>
      <c r="H30" s="28" t="n">
        <f aca="false">IF(A30=1,0,Parametres!$B$70+Parametres!$B$71*INT(A30/5))</f>
        <v>8</v>
      </c>
      <c r="I30" s="29" t="n">
        <f aca="false">I29+H30</f>
        <v>135</v>
      </c>
      <c r="J30" s="28" t="n">
        <f aca="false">ROUND(C30/Parametres!$B$104,0)</f>
        <v>340</v>
      </c>
      <c r="K30" s="31" t="n">
        <f aca="false">ROUND(J30/Parametres!$B$46,1)</f>
        <v>85</v>
      </c>
      <c r="L30" s="32" t="n">
        <f aca="false">ROUND(K30/4.345,1)</f>
        <v>19.6</v>
      </c>
      <c r="M30" s="33"/>
    </row>
    <row r="31" customFormat="false" ht="15" hidden="false" customHeight="true" outlineLevel="0" collapsed="false">
      <c r="A31" s="20" t="n">
        <v>27</v>
      </c>
      <c r="B31" s="21" t="n">
        <f aca="false">IF(A31=1,0,IF(A31-1&lt;=Parametres!$B$10,ROUND(Parametres!$B$8*(A31-1)^Parametres!$B$9,0),ROUND(Parametres!$B$8*Parametres!$B$10^Parametres!$B$9+Parametres!$B$11*(A31-1-Parametres!$B$10),0)))</f>
        <v>6450</v>
      </c>
      <c r="C31" s="22" t="n">
        <f aca="false">C30+B31</f>
        <v>72104</v>
      </c>
      <c r="D31" s="21" t="n">
        <f aca="false">Parametres!$B$15+Parametres!$B$16*(A31-1)</f>
        <v>1010</v>
      </c>
      <c r="E31" s="21" t="n">
        <f aca="false">Parametres!$B$17+Parametres!$B$18*(A31-1)</f>
        <v>166</v>
      </c>
      <c r="F31" s="21" t="n">
        <f aca="false">Parametres!$B$19+Parametres!$B$20*(A31-1)</f>
        <v>70</v>
      </c>
      <c r="G31" s="23" t="n">
        <f aca="false">Parametres!$B$21+Parametres!$B$22*(A31/(A31+Parametres!$B$23))</f>
        <v>0.136170212765957</v>
      </c>
      <c r="H31" s="21" t="n">
        <f aca="false">IF(A31=1,0,Parametres!$B$70+Parametres!$B$71*INT(A31/5))</f>
        <v>8</v>
      </c>
      <c r="I31" s="22" t="n">
        <f aca="false">I30+H31</f>
        <v>143</v>
      </c>
      <c r="J31" s="21" t="n">
        <f aca="false">ROUND(C31/Parametres!$B$104,0)</f>
        <v>374</v>
      </c>
      <c r="K31" s="24" t="n">
        <f aca="false">ROUND(J31/Parametres!$B$46,1)</f>
        <v>93.5</v>
      </c>
      <c r="L31" s="25" t="n">
        <f aca="false">ROUND(K31/4.345,1)</f>
        <v>21.5</v>
      </c>
      <c r="M31" s="34"/>
    </row>
    <row r="32" customFormat="false" ht="15" hidden="false" customHeight="true" outlineLevel="0" collapsed="false">
      <c r="A32" s="27" t="n">
        <v>28</v>
      </c>
      <c r="B32" s="28" t="n">
        <f aca="false">IF(A32=1,0,IF(A32-1&lt;=Parametres!$B$10,ROUND(Parametres!$B$8*(A32-1)^Parametres!$B$9,0),ROUND(Parametres!$B$8*Parametres!$B$10^Parametres!$B$9+Parametres!$B$11*(A32-1-Parametres!$B$10),0)))</f>
        <v>6650</v>
      </c>
      <c r="C32" s="29" t="n">
        <f aca="false">C31+B32</f>
        <v>78754</v>
      </c>
      <c r="D32" s="28" t="n">
        <f aca="false">Parametres!$B$15+Parametres!$B$16*(A32-1)</f>
        <v>1045</v>
      </c>
      <c r="E32" s="28" t="n">
        <f aca="false">Parametres!$B$17+Parametres!$B$18*(A32-1)</f>
        <v>172</v>
      </c>
      <c r="F32" s="28" t="n">
        <f aca="false">Parametres!$B$19+Parametres!$B$20*(A32-1)</f>
        <v>72.5</v>
      </c>
      <c r="G32" s="30" t="n">
        <f aca="false">Parametres!$B$21+Parametres!$B$22*(A32/(A32+Parametres!$B$23))</f>
        <v>0.1375</v>
      </c>
      <c r="H32" s="28" t="n">
        <f aca="false">IF(A32=1,0,Parametres!$B$70+Parametres!$B$71*INT(A32/5))</f>
        <v>8</v>
      </c>
      <c r="I32" s="29" t="n">
        <f aca="false">I31+H32</f>
        <v>151</v>
      </c>
      <c r="J32" s="28" t="n">
        <f aca="false">ROUND(C32/Parametres!$B$104,0)</f>
        <v>408</v>
      </c>
      <c r="K32" s="31" t="n">
        <f aca="false">ROUND(J32/Parametres!$B$46,1)</f>
        <v>102</v>
      </c>
      <c r="L32" s="32" t="n">
        <f aca="false">ROUND(K32/4.345,1)</f>
        <v>23.5</v>
      </c>
      <c r="M32" s="33"/>
    </row>
    <row r="33" customFormat="false" ht="15" hidden="false" customHeight="true" outlineLevel="0" collapsed="false">
      <c r="A33" s="20" t="n">
        <v>29</v>
      </c>
      <c r="B33" s="21" t="n">
        <f aca="false">IF(A33=1,0,IF(A33-1&lt;=Parametres!$B$10,ROUND(Parametres!$B$8*(A33-1)^Parametres!$B$9,0),ROUND(Parametres!$B$8*Parametres!$B$10^Parametres!$B$9+Parametres!$B$11*(A33-1-Parametres!$B$10),0)))</f>
        <v>6850</v>
      </c>
      <c r="C33" s="22" t="n">
        <f aca="false">C32+B33</f>
        <v>85604</v>
      </c>
      <c r="D33" s="21" t="n">
        <f aca="false">Parametres!$B$15+Parametres!$B$16*(A33-1)</f>
        <v>1080</v>
      </c>
      <c r="E33" s="21" t="n">
        <f aca="false">Parametres!$B$17+Parametres!$B$18*(A33-1)</f>
        <v>178</v>
      </c>
      <c r="F33" s="21" t="n">
        <f aca="false">Parametres!$B$19+Parametres!$B$20*(A33-1)</f>
        <v>75</v>
      </c>
      <c r="G33" s="23" t="n">
        <f aca="false">Parametres!$B$21+Parametres!$B$22*(A33/(A33+Parametres!$B$23))</f>
        <v>0.138775510204082</v>
      </c>
      <c r="H33" s="21" t="n">
        <f aca="false">IF(A33=1,0,Parametres!$B$70+Parametres!$B$71*INT(A33/5))</f>
        <v>8</v>
      </c>
      <c r="I33" s="22" t="n">
        <f aca="false">I32+H33</f>
        <v>159</v>
      </c>
      <c r="J33" s="21" t="n">
        <f aca="false">ROUND(C33/Parametres!$B$104,0)</f>
        <v>444</v>
      </c>
      <c r="K33" s="24" t="n">
        <f aca="false">ROUND(J33/Parametres!$B$46,1)</f>
        <v>111</v>
      </c>
      <c r="L33" s="25" t="n">
        <f aca="false">ROUND(K33/4.345,1)</f>
        <v>25.5</v>
      </c>
      <c r="M33" s="34"/>
    </row>
    <row r="34" customFormat="false" ht="15" hidden="false" customHeight="true" outlineLevel="0" collapsed="false">
      <c r="A34" s="27" t="n">
        <v>30</v>
      </c>
      <c r="B34" s="28" t="n">
        <f aca="false">IF(A34=1,0,IF(A34-1&lt;=Parametres!$B$10,ROUND(Parametres!$B$8*(A34-1)^Parametres!$B$9,0),ROUND(Parametres!$B$8*Parametres!$B$10^Parametres!$B$9+Parametres!$B$11*(A34-1-Parametres!$B$10),0)))</f>
        <v>7050</v>
      </c>
      <c r="C34" s="29" t="n">
        <f aca="false">C33+B34</f>
        <v>92654</v>
      </c>
      <c r="D34" s="28" t="n">
        <f aca="false">Parametres!$B$15+Parametres!$B$16*(A34-1)</f>
        <v>1115</v>
      </c>
      <c r="E34" s="28" t="n">
        <f aca="false">Parametres!$B$17+Parametres!$B$18*(A34-1)</f>
        <v>184</v>
      </c>
      <c r="F34" s="28" t="n">
        <f aca="false">Parametres!$B$19+Parametres!$B$20*(A34-1)</f>
        <v>77.5</v>
      </c>
      <c r="G34" s="30" t="n">
        <f aca="false">Parametres!$B$21+Parametres!$B$22*(A34/(A34+Parametres!$B$23))</f>
        <v>0.14</v>
      </c>
      <c r="H34" s="28" t="n">
        <f aca="false">IF(A34=1,0,Parametres!$B$70+Parametres!$B$71*INT(A34/5))</f>
        <v>9</v>
      </c>
      <c r="I34" s="29" t="n">
        <f aca="false">I33+H34</f>
        <v>168</v>
      </c>
      <c r="J34" s="28" t="n">
        <f aca="false">ROUND(C34/Parametres!$B$104,0)</f>
        <v>480</v>
      </c>
      <c r="K34" s="31" t="n">
        <f aca="false">ROUND(J34/Parametres!$B$46,1)</f>
        <v>120</v>
      </c>
      <c r="L34" s="32" t="n">
        <f aca="false">ROUND(K34/4.345,1)</f>
        <v>27.6</v>
      </c>
      <c r="M34" s="33"/>
    </row>
    <row r="35" customFormat="false" ht="15" hidden="false" customHeight="true" outlineLevel="0" collapsed="false">
      <c r="A35" s="20" t="n">
        <v>31</v>
      </c>
      <c r="B35" s="21" t="n">
        <f aca="false">IF(A35=1,0,IF(A35-1&lt;=Parametres!$B$10,ROUND(Parametres!$B$8*(A35-1)^Parametres!$B$9,0),ROUND(Parametres!$B$8*Parametres!$B$10^Parametres!$B$9+Parametres!$B$11*(A35-1-Parametres!$B$10),0)))</f>
        <v>7250</v>
      </c>
      <c r="C35" s="22" t="n">
        <f aca="false">C34+B35</f>
        <v>99904</v>
      </c>
      <c r="D35" s="21" t="n">
        <f aca="false">Parametres!$B$15+Parametres!$B$16*(A35-1)</f>
        <v>1150</v>
      </c>
      <c r="E35" s="21" t="n">
        <f aca="false">Parametres!$B$17+Parametres!$B$18*(A35-1)</f>
        <v>190</v>
      </c>
      <c r="F35" s="21" t="n">
        <f aca="false">Parametres!$B$19+Parametres!$B$20*(A35-1)</f>
        <v>80</v>
      </c>
      <c r="G35" s="23" t="n">
        <f aca="false">Parametres!$B$21+Parametres!$B$22*(A35/(A35+Parametres!$B$23))</f>
        <v>0.141176470588235</v>
      </c>
      <c r="H35" s="21" t="n">
        <f aca="false">IF(A35=1,0,Parametres!$B$70+Parametres!$B$71*INT(A35/5))</f>
        <v>9</v>
      </c>
      <c r="I35" s="22" t="n">
        <f aca="false">I34+H35</f>
        <v>177</v>
      </c>
      <c r="J35" s="21" t="n">
        <f aca="false">ROUND(C35/Parametres!$B$104,0)</f>
        <v>518</v>
      </c>
      <c r="K35" s="24" t="n">
        <f aca="false">ROUND(J35/Parametres!$B$46,1)</f>
        <v>129.5</v>
      </c>
      <c r="L35" s="25" t="n">
        <f aca="false">ROUND(K35/4.345,1)</f>
        <v>29.8</v>
      </c>
      <c r="M35" s="34"/>
    </row>
    <row r="36" customFormat="false" ht="15" hidden="false" customHeight="true" outlineLevel="0" collapsed="false">
      <c r="A36" s="27" t="n">
        <v>32</v>
      </c>
      <c r="B36" s="28" t="n">
        <f aca="false">IF(A36=1,0,IF(A36-1&lt;=Parametres!$B$10,ROUND(Parametres!$B$8*(A36-1)^Parametres!$B$9,0),ROUND(Parametres!$B$8*Parametres!$B$10^Parametres!$B$9+Parametres!$B$11*(A36-1-Parametres!$B$10),0)))</f>
        <v>7450</v>
      </c>
      <c r="C36" s="29" t="n">
        <f aca="false">C35+B36</f>
        <v>107354</v>
      </c>
      <c r="D36" s="28" t="n">
        <f aca="false">Parametres!$B$15+Parametres!$B$16*(A36-1)</f>
        <v>1185</v>
      </c>
      <c r="E36" s="28" t="n">
        <f aca="false">Parametres!$B$17+Parametres!$B$18*(A36-1)</f>
        <v>196</v>
      </c>
      <c r="F36" s="28" t="n">
        <f aca="false">Parametres!$B$19+Parametres!$B$20*(A36-1)</f>
        <v>82.5</v>
      </c>
      <c r="G36" s="30" t="n">
        <f aca="false">Parametres!$B$21+Parametres!$B$22*(A36/(A36+Parametres!$B$23))</f>
        <v>0.142307692307692</v>
      </c>
      <c r="H36" s="28" t="n">
        <f aca="false">IF(A36=1,0,Parametres!$B$70+Parametres!$B$71*INT(A36/5))</f>
        <v>9</v>
      </c>
      <c r="I36" s="29" t="n">
        <f aca="false">I35+H36</f>
        <v>186</v>
      </c>
      <c r="J36" s="28" t="n">
        <f aca="false">ROUND(C36/Parametres!$B$104,0)</f>
        <v>556</v>
      </c>
      <c r="K36" s="31" t="n">
        <f aca="false">ROUND(J36/Parametres!$B$46,1)</f>
        <v>139</v>
      </c>
      <c r="L36" s="32" t="n">
        <f aca="false">ROUND(K36/4.345,1)</f>
        <v>32</v>
      </c>
      <c r="M36" s="33"/>
    </row>
    <row r="37" customFormat="false" ht="15" hidden="false" customHeight="true" outlineLevel="0" collapsed="false">
      <c r="A37" s="20" t="n">
        <v>33</v>
      </c>
      <c r="B37" s="21" t="n">
        <f aca="false">IF(A37=1,0,IF(A37-1&lt;=Parametres!$B$10,ROUND(Parametres!$B$8*(A37-1)^Parametres!$B$9,0),ROUND(Parametres!$B$8*Parametres!$B$10^Parametres!$B$9+Parametres!$B$11*(A37-1-Parametres!$B$10),0)))</f>
        <v>7650</v>
      </c>
      <c r="C37" s="22" t="n">
        <f aca="false">C36+B37</f>
        <v>115004</v>
      </c>
      <c r="D37" s="21" t="n">
        <f aca="false">Parametres!$B$15+Parametres!$B$16*(A37-1)</f>
        <v>1220</v>
      </c>
      <c r="E37" s="21" t="n">
        <f aca="false">Parametres!$B$17+Parametres!$B$18*(A37-1)</f>
        <v>202</v>
      </c>
      <c r="F37" s="21" t="n">
        <f aca="false">Parametres!$B$19+Parametres!$B$20*(A37-1)</f>
        <v>85</v>
      </c>
      <c r="G37" s="23" t="n">
        <f aca="false">Parametres!$B$21+Parametres!$B$22*(A37/(A37+Parametres!$B$23))</f>
        <v>0.143396226415094</v>
      </c>
      <c r="H37" s="21" t="n">
        <f aca="false">IF(A37=1,0,Parametres!$B$70+Parametres!$B$71*INT(A37/5))</f>
        <v>9</v>
      </c>
      <c r="I37" s="22" t="n">
        <f aca="false">I36+H37</f>
        <v>195</v>
      </c>
      <c r="J37" s="21" t="n">
        <f aca="false">ROUND(C37/Parametres!$B$104,0)</f>
        <v>596</v>
      </c>
      <c r="K37" s="24" t="n">
        <f aca="false">ROUND(J37/Parametres!$B$46,1)</f>
        <v>149</v>
      </c>
      <c r="L37" s="25" t="n">
        <f aca="false">ROUND(K37/4.345,1)</f>
        <v>34.3</v>
      </c>
      <c r="M37" s="34"/>
    </row>
    <row r="38" customFormat="false" ht="15" hidden="false" customHeight="true" outlineLevel="0" collapsed="false">
      <c r="A38" s="27" t="n">
        <v>34</v>
      </c>
      <c r="B38" s="28" t="n">
        <f aca="false">IF(A38=1,0,IF(A38-1&lt;=Parametres!$B$10,ROUND(Parametres!$B$8*(A38-1)^Parametres!$B$9,0),ROUND(Parametres!$B$8*Parametres!$B$10^Parametres!$B$9+Parametres!$B$11*(A38-1-Parametres!$B$10),0)))</f>
        <v>7850</v>
      </c>
      <c r="C38" s="29" t="n">
        <f aca="false">C37+B38</f>
        <v>122854</v>
      </c>
      <c r="D38" s="28" t="n">
        <f aca="false">Parametres!$B$15+Parametres!$B$16*(A38-1)</f>
        <v>1255</v>
      </c>
      <c r="E38" s="28" t="n">
        <f aca="false">Parametres!$B$17+Parametres!$B$18*(A38-1)</f>
        <v>208</v>
      </c>
      <c r="F38" s="28" t="n">
        <f aca="false">Parametres!$B$19+Parametres!$B$20*(A38-1)</f>
        <v>87.5</v>
      </c>
      <c r="G38" s="30" t="n">
        <f aca="false">Parametres!$B$21+Parametres!$B$22*(A38/(A38+Parametres!$B$23))</f>
        <v>0.144444444444444</v>
      </c>
      <c r="H38" s="28" t="n">
        <f aca="false">IF(A38=1,0,Parametres!$B$70+Parametres!$B$71*INT(A38/5))</f>
        <v>9</v>
      </c>
      <c r="I38" s="29" t="n">
        <f aca="false">I37+H38</f>
        <v>204</v>
      </c>
      <c r="J38" s="28" t="n">
        <f aca="false">ROUND(C38/Parametres!$B$104,0)</f>
        <v>637</v>
      </c>
      <c r="K38" s="31" t="n">
        <f aca="false">ROUND(J38/Parametres!$B$46,1)</f>
        <v>159.3</v>
      </c>
      <c r="L38" s="32" t="n">
        <f aca="false">ROUND(K38/4.345,1)</f>
        <v>36.7</v>
      </c>
      <c r="M38" s="33"/>
    </row>
    <row r="39" customFormat="false" ht="15" hidden="false" customHeight="true" outlineLevel="0" collapsed="false">
      <c r="A39" s="20" t="n">
        <v>35</v>
      </c>
      <c r="B39" s="21" t="n">
        <f aca="false">IF(A39=1,0,IF(A39-1&lt;=Parametres!$B$10,ROUND(Parametres!$B$8*(A39-1)^Parametres!$B$9,0),ROUND(Parametres!$B$8*Parametres!$B$10^Parametres!$B$9+Parametres!$B$11*(A39-1-Parametres!$B$10),0)))</f>
        <v>8050</v>
      </c>
      <c r="C39" s="22" t="n">
        <f aca="false">C38+B39</f>
        <v>130904</v>
      </c>
      <c r="D39" s="21" t="n">
        <f aca="false">Parametres!$B$15+Parametres!$B$16*(A39-1)</f>
        <v>1290</v>
      </c>
      <c r="E39" s="21" t="n">
        <f aca="false">Parametres!$B$17+Parametres!$B$18*(A39-1)</f>
        <v>214</v>
      </c>
      <c r="F39" s="21" t="n">
        <f aca="false">Parametres!$B$19+Parametres!$B$20*(A39-1)</f>
        <v>90</v>
      </c>
      <c r="G39" s="23" t="n">
        <f aca="false">Parametres!$B$21+Parametres!$B$22*(A39/(A39+Parametres!$B$23))</f>
        <v>0.145454545454545</v>
      </c>
      <c r="H39" s="21" t="n">
        <f aca="false">IF(A39=1,0,Parametres!$B$70+Parametres!$B$71*INT(A39/5))</f>
        <v>10</v>
      </c>
      <c r="I39" s="22" t="n">
        <f aca="false">I38+H39</f>
        <v>214</v>
      </c>
      <c r="J39" s="21" t="n">
        <f aca="false">ROUND(C39/Parametres!$B$104,0)</f>
        <v>678</v>
      </c>
      <c r="K39" s="24" t="n">
        <f aca="false">ROUND(J39/Parametres!$B$46,1)</f>
        <v>169.5</v>
      </c>
      <c r="L39" s="25" t="n">
        <f aca="false">ROUND(K39/4.345,1)</f>
        <v>39</v>
      </c>
      <c r="M39" s="34"/>
    </row>
    <row r="40" customFormat="false" ht="15" hidden="false" customHeight="true" outlineLevel="0" collapsed="false">
      <c r="A40" s="27" t="n">
        <v>36</v>
      </c>
      <c r="B40" s="28" t="n">
        <f aca="false">IF(A40=1,0,IF(A40-1&lt;=Parametres!$B$10,ROUND(Parametres!$B$8*(A40-1)^Parametres!$B$9,0),ROUND(Parametres!$B$8*Parametres!$B$10^Parametres!$B$9+Parametres!$B$11*(A40-1-Parametres!$B$10),0)))</f>
        <v>8250</v>
      </c>
      <c r="C40" s="29" t="n">
        <f aca="false">C39+B40</f>
        <v>139154</v>
      </c>
      <c r="D40" s="28" t="n">
        <f aca="false">Parametres!$B$15+Parametres!$B$16*(A40-1)</f>
        <v>1325</v>
      </c>
      <c r="E40" s="28" t="n">
        <f aca="false">Parametres!$B$17+Parametres!$B$18*(A40-1)</f>
        <v>220</v>
      </c>
      <c r="F40" s="28" t="n">
        <f aca="false">Parametres!$B$19+Parametres!$B$20*(A40-1)</f>
        <v>92.5</v>
      </c>
      <c r="G40" s="30" t="n">
        <f aca="false">Parametres!$B$21+Parametres!$B$22*(A40/(A40+Parametres!$B$23))</f>
        <v>0.146428571428571</v>
      </c>
      <c r="H40" s="28" t="n">
        <f aca="false">IF(A40=1,0,Parametres!$B$70+Parametres!$B$71*INT(A40/5))</f>
        <v>10</v>
      </c>
      <c r="I40" s="29" t="n">
        <f aca="false">I39+H40</f>
        <v>224</v>
      </c>
      <c r="J40" s="28" t="n">
        <f aca="false">ROUND(C40/Parametres!$B$104,0)</f>
        <v>721</v>
      </c>
      <c r="K40" s="31" t="n">
        <f aca="false">ROUND(J40/Parametres!$B$46,1)</f>
        <v>180.3</v>
      </c>
      <c r="L40" s="32" t="n">
        <f aca="false">ROUND(K40/4.345,1)</f>
        <v>41.5</v>
      </c>
      <c r="M40" s="33"/>
    </row>
    <row r="41" customFormat="false" ht="15" hidden="false" customHeight="true" outlineLevel="0" collapsed="false">
      <c r="A41" s="20" t="n">
        <v>37</v>
      </c>
      <c r="B41" s="21" t="n">
        <f aca="false">IF(A41=1,0,IF(A41-1&lt;=Parametres!$B$10,ROUND(Parametres!$B$8*(A41-1)^Parametres!$B$9,0),ROUND(Parametres!$B$8*Parametres!$B$10^Parametres!$B$9+Parametres!$B$11*(A41-1-Parametres!$B$10),0)))</f>
        <v>8450</v>
      </c>
      <c r="C41" s="22" t="n">
        <f aca="false">C40+B41</f>
        <v>147604</v>
      </c>
      <c r="D41" s="21" t="n">
        <f aca="false">Parametres!$B$15+Parametres!$B$16*(A41-1)</f>
        <v>1360</v>
      </c>
      <c r="E41" s="21" t="n">
        <f aca="false">Parametres!$B$17+Parametres!$B$18*(A41-1)</f>
        <v>226</v>
      </c>
      <c r="F41" s="21" t="n">
        <f aca="false">Parametres!$B$19+Parametres!$B$20*(A41-1)</f>
        <v>95</v>
      </c>
      <c r="G41" s="23" t="n">
        <f aca="false">Parametres!$B$21+Parametres!$B$22*(A41/(A41+Parametres!$B$23))</f>
        <v>0.147368421052632</v>
      </c>
      <c r="H41" s="21" t="n">
        <f aca="false">IF(A41=1,0,Parametres!$B$70+Parametres!$B$71*INT(A41/5))</f>
        <v>10</v>
      </c>
      <c r="I41" s="22" t="n">
        <f aca="false">I40+H41</f>
        <v>234</v>
      </c>
      <c r="J41" s="21" t="n">
        <f aca="false">ROUND(C41/Parametres!$B$104,0)</f>
        <v>765</v>
      </c>
      <c r="K41" s="24" t="n">
        <f aca="false">ROUND(J41/Parametres!$B$46,1)</f>
        <v>191.3</v>
      </c>
      <c r="L41" s="25" t="n">
        <f aca="false">ROUND(K41/4.345,1)</f>
        <v>44</v>
      </c>
      <c r="M41" s="34"/>
    </row>
    <row r="42" customFormat="false" ht="15" hidden="false" customHeight="true" outlineLevel="0" collapsed="false">
      <c r="A42" s="27" t="n">
        <v>38</v>
      </c>
      <c r="B42" s="28" t="n">
        <f aca="false">IF(A42=1,0,IF(A42-1&lt;=Parametres!$B$10,ROUND(Parametres!$B$8*(A42-1)^Parametres!$B$9,0),ROUND(Parametres!$B$8*Parametres!$B$10^Parametres!$B$9+Parametres!$B$11*(A42-1-Parametres!$B$10),0)))</f>
        <v>8650</v>
      </c>
      <c r="C42" s="29" t="n">
        <f aca="false">C41+B42</f>
        <v>156254</v>
      </c>
      <c r="D42" s="28" t="n">
        <f aca="false">Parametres!$B$15+Parametres!$B$16*(A42-1)</f>
        <v>1395</v>
      </c>
      <c r="E42" s="28" t="n">
        <f aca="false">Parametres!$B$17+Parametres!$B$18*(A42-1)</f>
        <v>232</v>
      </c>
      <c r="F42" s="28" t="n">
        <f aca="false">Parametres!$B$19+Parametres!$B$20*(A42-1)</f>
        <v>97.5</v>
      </c>
      <c r="G42" s="30" t="n">
        <f aca="false">Parametres!$B$21+Parametres!$B$22*(A42/(A42+Parametres!$B$23))</f>
        <v>0.148275862068966</v>
      </c>
      <c r="H42" s="28" t="n">
        <f aca="false">IF(A42=1,0,Parametres!$B$70+Parametres!$B$71*INT(A42/5))</f>
        <v>10</v>
      </c>
      <c r="I42" s="29" t="n">
        <f aca="false">I41+H42</f>
        <v>244</v>
      </c>
      <c r="J42" s="28" t="n">
        <f aca="false">ROUND(C42/Parametres!$B$104,0)</f>
        <v>810</v>
      </c>
      <c r="K42" s="31" t="n">
        <f aca="false">ROUND(J42/Parametres!$B$46,1)</f>
        <v>202.5</v>
      </c>
      <c r="L42" s="32" t="n">
        <f aca="false">ROUND(K42/4.345,1)</f>
        <v>46.6</v>
      </c>
      <c r="M42" s="33"/>
    </row>
    <row r="43" customFormat="false" ht="15" hidden="false" customHeight="true" outlineLevel="0" collapsed="false">
      <c r="A43" s="20" t="n">
        <v>39</v>
      </c>
      <c r="B43" s="21" t="n">
        <f aca="false">IF(A43=1,0,IF(A43-1&lt;=Parametres!$B$10,ROUND(Parametres!$B$8*(A43-1)^Parametres!$B$9,0),ROUND(Parametres!$B$8*Parametres!$B$10^Parametres!$B$9+Parametres!$B$11*(A43-1-Parametres!$B$10),0)))</f>
        <v>8850</v>
      </c>
      <c r="C43" s="22" t="n">
        <f aca="false">C42+B43</f>
        <v>165104</v>
      </c>
      <c r="D43" s="21" t="n">
        <f aca="false">Parametres!$B$15+Parametres!$B$16*(A43-1)</f>
        <v>1430</v>
      </c>
      <c r="E43" s="21" t="n">
        <f aca="false">Parametres!$B$17+Parametres!$B$18*(A43-1)</f>
        <v>238</v>
      </c>
      <c r="F43" s="21" t="n">
        <f aca="false">Parametres!$B$19+Parametres!$B$20*(A43-1)</f>
        <v>100</v>
      </c>
      <c r="G43" s="23" t="n">
        <f aca="false">Parametres!$B$21+Parametres!$B$22*(A43/(A43+Parametres!$B$23))</f>
        <v>0.149152542372881</v>
      </c>
      <c r="H43" s="21" t="n">
        <f aca="false">IF(A43=1,0,Parametres!$B$70+Parametres!$B$71*INT(A43/5))</f>
        <v>10</v>
      </c>
      <c r="I43" s="22" t="n">
        <f aca="false">I42+H43</f>
        <v>254</v>
      </c>
      <c r="J43" s="21" t="n">
        <f aca="false">ROUND(C43/Parametres!$B$104,0)</f>
        <v>855</v>
      </c>
      <c r="K43" s="24" t="n">
        <f aca="false">ROUND(J43/Parametres!$B$46,1)</f>
        <v>213.8</v>
      </c>
      <c r="L43" s="25" t="n">
        <f aca="false">ROUND(K43/4.345,1)</f>
        <v>49.2</v>
      </c>
      <c r="M43" s="34"/>
    </row>
    <row r="44" customFormat="false" ht="15" hidden="false" customHeight="true" outlineLevel="0" collapsed="false">
      <c r="A44" s="27" t="n">
        <v>40</v>
      </c>
      <c r="B44" s="28" t="n">
        <f aca="false">IF(A44=1,0,IF(A44-1&lt;=Parametres!$B$10,ROUND(Parametres!$B$8*(A44-1)^Parametres!$B$9,0),ROUND(Parametres!$B$8*Parametres!$B$10^Parametres!$B$9+Parametres!$B$11*(A44-1-Parametres!$B$10),0)))</f>
        <v>9050</v>
      </c>
      <c r="C44" s="29" t="n">
        <f aca="false">C43+B44</f>
        <v>174154</v>
      </c>
      <c r="D44" s="28" t="n">
        <f aca="false">Parametres!$B$15+Parametres!$B$16*(A44-1)</f>
        <v>1465</v>
      </c>
      <c r="E44" s="28" t="n">
        <f aca="false">Parametres!$B$17+Parametres!$B$18*(A44-1)</f>
        <v>244</v>
      </c>
      <c r="F44" s="28" t="n">
        <f aca="false">Parametres!$B$19+Parametres!$B$20*(A44-1)</f>
        <v>102.5</v>
      </c>
      <c r="G44" s="30" t="n">
        <f aca="false">Parametres!$B$21+Parametres!$B$22*(A44/(A44+Parametres!$B$23))</f>
        <v>0.15</v>
      </c>
      <c r="H44" s="28" t="n">
        <f aca="false">IF(A44=1,0,Parametres!$B$70+Parametres!$B$71*INT(A44/5))</f>
        <v>11</v>
      </c>
      <c r="I44" s="29" t="n">
        <f aca="false">I43+H44</f>
        <v>265</v>
      </c>
      <c r="J44" s="28" t="n">
        <f aca="false">ROUND(C44/Parametres!$B$104,0)</f>
        <v>902</v>
      </c>
      <c r="K44" s="31" t="n">
        <f aca="false">ROUND(J44/Parametres!$B$46,1)</f>
        <v>225.5</v>
      </c>
      <c r="L44" s="32" t="n">
        <f aca="false">ROUND(K44/4.345,1)</f>
        <v>51.9</v>
      </c>
      <c r="M44" s="35" t="s">
        <v>304</v>
      </c>
    </row>
    <row r="45" customFormat="false" ht="15" hidden="false" customHeight="true" outlineLevel="0" collapsed="false">
      <c r="A45" s="20" t="n">
        <v>41</v>
      </c>
      <c r="B45" s="21" t="n">
        <f aca="false">IF(A45=1,0,IF(A45-1&lt;=Parametres!$B$10,ROUND(Parametres!$B$8*(A45-1)^Parametres!$B$9,0),ROUND(Parametres!$B$8*Parametres!$B$10^Parametres!$B$9+Parametres!$B$11*(A45-1-Parametres!$B$10),0)))</f>
        <v>9250</v>
      </c>
      <c r="C45" s="22" t="n">
        <f aca="false">C44+B45</f>
        <v>183404</v>
      </c>
      <c r="D45" s="21" t="n">
        <f aca="false">Parametres!$B$15+Parametres!$B$16*(A45-1)</f>
        <v>1500</v>
      </c>
      <c r="E45" s="21" t="n">
        <f aca="false">Parametres!$B$17+Parametres!$B$18*(A45-1)</f>
        <v>250</v>
      </c>
      <c r="F45" s="21" t="n">
        <f aca="false">Parametres!$B$19+Parametres!$B$20*(A45-1)</f>
        <v>105</v>
      </c>
      <c r="G45" s="23" t="n">
        <f aca="false">Parametres!$B$21+Parametres!$B$22*(A45/(A45+Parametres!$B$23))</f>
        <v>0.150819672131148</v>
      </c>
      <c r="H45" s="21" t="n">
        <f aca="false">IF(A45=1,0,Parametres!$B$70+Parametres!$B$71*INT(A45/5))</f>
        <v>11</v>
      </c>
      <c r="I45" s="22" t="n">
        <f aca="false">I44+H45</f>
        <v>276</v>
      </c>
      <c r="J45" s="21" t="n">
        <f aca="false">ROUND(C45/Parametres!$B$104,0)</f>
        <v>950</v>
      </c>
      <c r="K45" s="24" t="n">
        <f aca="false">ROUND(J45/Parametres!$B$46,1)</f>
        <v>237.5</v>
      </c>
      <c r="L45" s="25" t="n">
        <f aca="false">ROUND(K45/4.345,1)</f>
        <v>54.7</v>
      </c>
      <c r="M45" s="34"/>
    </row>
    <row r="46" customFormat="false" ht="15" hidden="false" customHeight="true" outlineLevel="0" collapsed="false">
      <c r="A46" s="27" t="n">
        <v>42</v>
      </c>
      <c r="B46" s="28" t="n">
        <f aca="false">IF(A46=1,0,IF(A46-1&lt;=Parametres!$B$10,ROUND(Parametres!$B$8*(A46-1)^Parametres!$B$9,0),ROUND(Parametres!$B$8*Parametres!$B$10^Parametres!$B$9+Parametres!$B$11*(A46-1-Parametres!$B$10),0)))</f>
        <v>9450</v>
      </c>
      <c r="C46" s="29" t="n">
        <f aca="false">C45+B46</f>
        <v>192854</v>
      </c>
      <c r="D46" s="28" t="n">
        <f aca="false">Parametres!$B$15+Parametres!$B$16*(A46-1)</f>
        <v>1535</v>
      </c>
      <c r="E46" s="28" t="n">
        <f aca="false">Parametres!$B$17+Parametres!$B$18*(A46-1)</f>
        <v>256</v>
      </c>
      <c r="F46" s="28" t="n">
        <f aca="false">Parametres!$B$19+Parametres!$B$20*(A46-1)</f>
        <v>107.5</v>
      </c>
      <c r="G46" s="30" t="n">
        <f aca="false">Parametres!$B$21+Parametres!$B$22*(A46/(A46+Parametres!$B$23))</f>
        <v>0.151612903225806</v>
      </c>
      <c r="H46" s="28" t="n">
        <f aca="false">IF(A46=1,0,Parametres!$B$70+Parametres!$B$71*INT(A46/5))</f>
        <v>11</v>
      </c>
      <c r="I46" s="29" t="n">
        <f aca="false">I45+H46</f>
        <v>287</v>
      </c>
      <c r="J46" s="28" t="n">
        <f aca="false">ROUND(C46/Parametres!$B$104,0)</f>
        <v>999</v>
      </c>
      <c r="K46" s="31" t="n">
        <f aca="false">ROUND(J46/Parametres!$B$46,1)</f>
        <v>249.8</v>
      </c>
      <c r="L46" s="32" t="n">
        <f aca="false">ROUND(K46/4.345,1)</f>
        <v>57.5</v>
      </c>
      <c r="M46" s="33"/>
    </row>
    <row r="47" customFormat="false" ht="15" hidden="false" customHeight="true" outlineLevel="0" collapsed="false">
      <c r="A47" s="20" t="n">
        <v>43</v>
      </c>
      <c r="B47" s="21" t="n">
        <f aca="false">IF(A47=1,0,IF(A47-1&lt;=Parametres!$B$10,ROUND(Parametres!$B$8*(A47-1)^Parametres!$B$9,0),ROUND(Parametres!$B$8*Parametres!$B$10^Parametres!$B$9+Parametres!$B$11*(A47-1-Parametres!$B$10),0)))</f>
        <v>9650</v>
      </c>
      <c r="C47" s="22" t="n">
        <f aca="false">C46+B47</f>
        <v>202504</v>
      </c>
      <c r="D47" s="21" t="n">
        <f aca="false">Parametres!$B$15+Parametres!$B$16*(A47-1)</f>
        <v>1570</v>
      </c>
      <c r="E47" s="21" t="n">
        <f aca="false">Parametres!$B$17+Parametres!$B$18*(A47-1)</f>
        <v>262</v>
      </c>
      <c r="F47" s="21" t="n">
        <f aca="false">Parametres!$B$19+Parametres!$B$20*(A47-1)</f>
        <v>110</v>
      </c>
      <c r="G47" s="23" t="n">
        <f aca="false">Parametres!$B$21+Parametres!$B$22*(A47/(A47+Parametres!$B$23))</f>
        <v>0.152380952380952</v>
      </c>
      <c r="H47" s="21" t="n">
        <f aca="false">IF(A47=1,0,Parametres!$B$70+Parametres!$B$71*INT(A47/5))</f>
        <v>11</v>
      </c>
      <c r="I47" s="22" t="n">
        <f aca="false">I46+H47</f>
        <v>298</v>
      </c>
      <c r="J47" s="21" t="n">
        <f aca="false">ROUND(C47/Parametres!$B$104,0)</f>
        <v>1049</v>
      </c>
      <c r="K47" s="24" t="n">
        <f aca="false">ROUND(J47/Parametres!$B$46,1)</f>
        <v>262.3</v>
      </c>
      <c r="L47" s="25" t="n">
        <f aca="false">ROUND(K47/4.345,1)</f>
        <v>60.4</v>
      </c>
      <c r="M47" s="34"/>
    </row>
    <row r="48" customFormat="false" ht="15" hidden="false" customHeight="true" outlineLevel="0" collapsed="false">
      <c r="A48" s="27" t="n">
        <v>44</v>
      </c>
      <c r="B48" s="28" t="n">
        <f aca="false">IF(A48=1,0,IF(A48-1&lt;=Parametres!$B$10,ROUND(Parametres!$B$8*(A48-1)^Parametres!$B$9,0),ROUND(Parametres!$B$8*Parametres!$B$10^Parametres!$B$9+Parametres!$B$11*(A48-1-Parametres!$B$10),0)))</f>
        <v>9850</v>
      </c>
      <c r="C48" s="29" t="n">
        <f aca="false">C47+B48</f>
        <v>212354</v>
      </c>
      <c r="D48" s="28" t="n">
        <f aca="false">Parametres!$B$15+Parametres!$B$16*(A48-1)</f>
        <v>1605</v>
      </c>
      <c r="E48" s="28" t="n">
        <f aca="false">Parametres!$B$17+Parametres!$B$18*(A48-1)</f>
        <v>268</v>
      </c>
      <c r="F48" s="28" t="n">
        <f aca="false">Parametres!$B$19+Parametres!$B$20*(A48-1)</f>
        <v>112.5</v>
      </c>
      <c r="G48" s="30" t="n">
        <f aca="false">Parametres!$B$21+Parametres!$B$22*(A48/(A48+Parametres!$B$23))</f>
        <v>0.153125</v>
      </c>
      <c r="H48" s="28" t="n">
        <f aca="false">IF(A48=1,0,Parametres!$B$70+Parametres!$B$71*INT(A48/5))</f>
        <v>11</v>
      </c>
      <c r="I48" s="29" t="n">
        <f aca="false">I47+H48</f>
        <v>309</v>
      </c>
      <c r="J48" s="28" t="n">
        <f aca="false">ROUND(C48/Parametres!$B$104,0)</f>
        <v>1100</v>
      </c>
      <c r="K48" s="31" t="n">
        <f aca="false">ROUND(J48/Parametres!$B$46,1)</f>
        <v>275</v>
      </c>
      <c r="L48" s="32" t="n">
        <f aca="false">ROUND(K48/4.345,1)</f>
        <v>63.3</v>
      </c>
      <c r="M48" s="33"/>
    </row>
    <row r="49" customFormat="false" ht="15" hidden="false" customHeight="true" outlineLevel="0" collapsed="false">
      <c r="A49" s="20" t="n">
        <v>45</v>
      </c>
      <c r="B49" s="21" t="n">
        <f aca="false">IF(A49=1,0,IF(A49-1&lt;=Parametres!$B$10,ROUND(Parametres!$B$8*(A49-1)^Parametres!$B$9,0),ROUND(Parametres!$B$8*Parametres!$B$10^Parametres!$B$9+Parametres!$B$11*(A49-1-Parametres!$B$10),0)))</f>
        <v>10050</v>
      </c>
      <c r="C49" s="22" t="n">
        <f aca="false">C48+B49</f>
        <v>222404</v>
      </c>
      <c r="D49" s="21" t="n">
        <f aca="false">Parametres!$B$15+Parametres!$B$16*(A49-1)</f>
        <v>1640</v>
      </c>
      <c r="E49" s="21" t="n">
        <f aca="false">Parametres!$B$17+Parametres!$B$18*(A49-1)</f>
        <v>274</v>
      </c>
      <c r="F49" s="21" t="n">
        <f aca="false">Parametres!$B$19+Parametres!$B$20*(A49-1)</f>
        <v>115</v>
      </c>
      <c r="G49" s="23" t="n">
        <f aca="false">Parametres!$B$21+Parametres!$B$22*(A49/(A49+Parametres!$B$23))</f>
        <v>0.153846153846154</v>
      </c>
      <c r="H49" s="21" t="n">
        <f aca="false">IF(A49=1,0,Parametres!$B$70+Parametres!$B$71*INT(A49/5))</f>
        <v>12</v>
      </c>
      <c r="I49" s="22" t="n">
        <f aca="false">I48+H49</f>
        <v>321</v>
      </c>
      <c r="J49" s="21" t="n">
        <f aca="false">ROUND(C49/Parametres!$B$104,0)</f>
        <v>1152</v>
      </c>
      <c r="K49" s="24" t="n">
        <f aca="false">ROUND(J49/Parametres!$B$46,1)</f>
        <v>288</v>
      </c>
      <c r="L49" s="25" t="n">
        <f aca="false">ROUND(K49/4.345,1)</f>
        <v>66.3</v>
      </c>
      <c r="M49" s="34"/>
    </row>
    <row r="50" customFormat="false" ht="15" hidden="false" customHeight="true" outlineLevel="0" collapsed="false">
      <c r="A50" s="27" t="n">
        <v>46</v>
      </c>
      <c r="B50" s="28" t="n">
        <f aca="false">IF(A50=1,0,IF(A50-1&lt;=Parametres!$B$10,ROUND(Parametres!$B$8*(A50-1)^Parametres!$B$9,0),ROUND(Parametres!$B$8*Parametres!$B$10^Parametres!$B$9+Parametres!$B$11*(A50-1-Parametres!$B$10),0)))</f>
        <v>10250</v>
      </c>
      <c r="C50" s="29" t="n">
        <f aca="false">C49+B50</f>
        <v>232654</v>
      </c>
      <c r="D50" s="28" t="n">
        <f aca="false">Parametres!$B$15+Parametres!$B$16*(A50-1)</f>
        <v>1675</v>
      </c>
      <c r="E50" s="28" t="n">
        <f aca="false">Parametres!$B$17+Parametres!$B$18*(A50-1)</f>
        <v>280</v>
      </c>
      <c r="F50" s="28" t="n">
        <f aca="false">Parametres!$B$19+Parametres!$B$20*(A50-1)</f>
        <v>117.5</v>
      </c>
      <c r="G50" s="30" t="n">
        <f aca="false">Parametres!$B$21+Parametres!$B$22*(A50/(A50+Parametres!$B$23))</f>
        <v>0.154545454545455</v>
      </c>
      <c r="H50" s="28" t="n">
        <f aca="false">IF(A50=1,0,Parametres!$B$70+Parametres!$B$71*INT(A50/5))</f>
        <v>12</v>
      </c>
      <c r="I50" s="29" t="n">
        <f aca="false">I49+H50</f>
        <v>333</v>
      </c>
      <c r="J50" s="28" t="n">
        <f aca="false">ROUND(C50/Parametres!$B$104,0)</f>
        <v>1205</v>
      </c>
      <c r="K50" s="31" t="n">
        <f aca="false">ROUND(J50/Parametres!$B$46,1)</f>
        <v>301.3</v>
      </c>
      <c r="L50" s="32" t="n">
        <f aca="false">ROUND(K50/4.345,1)</f>
        <v>69.3</v>
      </c>
      <c r="M50" s="33"/>
    </row>
    <row r="51" customFormat="false" ht="15" hidden="false" customHeight="true" outlineLevel="0" collapsed="false">
      <c r="A51" s="20" t="n">
        <v>47</v>
      </c>
      <c r="B51" s="21" t="n">
        <f aca="false">IF(A51=1,0,IF(A51-1&lt;=Parametres!$B$10,ROUND(Parametres!$B$8*(A51-1)^Parametres!$B$9,0),ROUND(Parametres!$B$8*Parametres!$B$10^Parametres!$B$9+Parametres!$B$11*(A51-1-Parametres!$B$10),0)))</f>
        <v>10450</v>
      </c>
      <c r="C51" s="22" t="n">
        <f aca="false">C50+B51</f>
        <v>243104</v>
      </c>
      <c r="D51" s="21" t="n">
        <f aca="false">Parametres!$B$15+Parametres!$B$16*(A51-1)</f>
        <v>1710</v>
      </c>
      <c r="E51" s="21" t="n">
        <f aca="false">Parametres!$B$17+Parametres!$B$18*(A51-1)</f>
        <v>286</v>
      </c>
      <c r="F51" s="21" t="n">
        <f aca="false">Parametres!$B$19+Parametres!$B$20*(A51-1)</f>
        <v>120</v>
      </c>
      <c r="G51" s="23" t="n">
        <f aca="false">Parametres!$B$21+Parametres!$B$22*(A51/(A51+Parametres!$B$23))</f>
        <v>0.155223880597015</v>
      </c>
      <c r="H51" s="21" t="n">
        <f aca="false">IF(A51=1,0,Parametres!$B$70+Parametres!$B$71*INT(A51/5))</f>
        <v>12</v>
      </c>
      <c r="I51" s="22" t="n">
        <f aca="false">I50+H51</f>
        <v>345</v>
      </c>
      <c r="J51" s="21" t="n">
        <f aca="false">ROUND(C51/Parametres!$B$104,0)</f>
        <v>1260</v>
      </c>
      <c r="K51" s="24" t="n">
        <f aca="false">ROUND(J51/Parametres!$B$46,1)</f>
        <v>315</v>
      </c>
      <c r="L51" s="25" t="n">
        <f aca="false">ROUND(K51/4.345,1)</f>
        <v>72.5</v>
      </c>
      <c r="M51" s="34"/>
    </row>
    <row r="52" customFormat="false" ht="15" hidden="false" customHeight="true" outlineLevel="0" collapsed="false">
      <c r="A52" s="27" t="n">
        <v>48</v>
      </c>
      <c r="B52" s="28" t="n">
        <f aca="false">IF(A52=1,0,IF(A52-1&lt;=Parametres!$B$10,ROUND(Parametres!$B$8*(A52-1)^Parametres!$B$9,0),ROUND(Parametres!$B$8*Parametres!$B$10^Parametres!$B$9+Parametres!$B$11*(A52-1-Parametres!$B$10),0)))</f>
        <v>10650</v>
      </c>
      <c r="C52" s="29" t="n">
        <f aca="false">C51+B52</f>
        <v>253754</v>
      </c>
      <c r="D52" s="28" t="n">
        <f aca="false">Parametres!$B$15+Parametres!$B$16*(A52-1)</f>
        <v>1745</v>
      </c>
      <c r="E52" s="28" t="n">
        <f aca="false">Parametres!$B$17+Parametres!$B$18*(A52-1)</f>
        <v>292</v>
      </c>
      <c r="F52" s="28" t="n">
        <f aca="false">Parametres!$B$19+Parametres!$B$20*(A52-1)</f>
        <v>122.5</v>
      </c>
      <c r="G52" s="30" t="n">
        <f aca="false">Parametres!$B$21+Parametres!$B$22*(A52/(A52+Parametres!$B$23))</f>
        <v>0.155882352941176</v>
      </c>
      <c r="H52" s="28" t="n">
        <f aca="false">IF(A52=1,0,Parametres!$B$70+Parametres!$B$71*INT(A52/5))</f>
        <v>12</v>
      </c>
      <c r="I52" s="29" t="n">
        <f aca="false">I51+H52</f>
        <v>357</v>
      </c>
      <c r="J52" s="28" t="n">
        <f aca="false">ROUND(C52/Parametres!$B$104,0)</f>
        <v>1315</v>
      </c>
      <c r="K52" s="31" t="n">
        <f aca="false">ROUND(J52/Parametres!$B$46,1)</f>
        <v>328.8</v>
      </c>
      <c r="L52" s="32" t="n">
        <f aca="false">ROUND(K52/4.345,1)</f>
        <v>75.7</v>
      </c>
      <c r="M52" s="33"/>
    </row>
    <row r="53" customFormat="false" ht="15" hidden="false" customHeight="true" outlineLevel="0" collapsed="false">
      <c r="A53" s="20" t="n">
        <v>49</v>
      </c>
      <c r="B53" s="21" t="n">
        <f aca="false">IF(A53=1,0,IF(A53-1&lt;=Parametres!$B$10,ROUND(Parametres!$B$8*(A53-1)^Parametres!$B$9,0),ROUND(Parametres!$B$8*Parametres!$B$10^Parametres!$B$9+Parametres!$B$11*(A53-1-Parametres!$B$10),0)))</f>
        <v>10850</v>
      </c>
      <c r="C53" s="22" t="n">
        <f aca="false">C52+B53</f>
        <v>264604</v>
      </c>
      <c r="D53" s="21" t="n">
        <f aca="false">Parametres!$B$15+Parametres!$B$16*(A53-1)</f>
        <v>1780</v>
      </c>
      <c r="E53" s="21" t="n">
        <f aca="false">Parametres!$B$17+Parametres!$B$18*(A53-1)</f>
        <v>298</v>
      </c>
      <c r="F53" s="21" t="n">
        <f aca="false">Parametres!$B$19+Parametres!$B$20*(A53-1)</f>
        <v>125</v>
      </c>
      <c r="G53" s="23" t="n">
        <f aca="false">Parametres!$B$21+Parametres!$B$22*(A53/(A53+Parametres!$B$23))</f>
        <v>0.156521739130435</v>
      </c>
      <c r="H53" s="21" t="n">
        <f aca="false">IF(A53=1,0,Parametres!$B$70+Parametres!$B$71*INT(A53/5))</f>
        <v>12</v>
      </c>
      <c r="I53" s="22" t="n">
        <f aca="false">I52+H53</f>
        <v>369</v>
      </c>
      <c r="J53" s="21" t="n">
        <f aca="false">ROUND(C53/Parametres!$B$104,0)</f>
        <v>1371</v>
      </c>
      <c r="K53" s="24" t="n">
        <f aca="false">ROUND(J53/Parametres!$B$46,1)</f>
        <v>342.8</v>
      </c>
      <c r="L53" s="25" t="n">
        <f aca="false">ROUND(K53/4.345,1)</f>
        <v>78.9</v>
      </c>
      <c r="M53" s="34"/>
    </row>
    <row r="54" customFormat="false" ht="15" hidden="false" customHeight="true" outlineLevel="0" collapsed="false">
      <c r="A54" s="27" t="n">
        <v>50</v>
      </c>
      <c r="B54" s="28" t="n">
        <f aca="false">IF(A54=1,0,IF(A54-1&lt;=Parametres!$B$10,ROUND(Parametres!$B$8*(A54-1)^Parametres!$B$9,0),ROUND(Parametres!$B$8*Parametres!$B$10^Parametres!$B$9+Parametres!$B$11*(A54-1-Parametres!$B$10),0)))</f>
        <v>11050</v>
      </c>
      <c r="C54" s="29" t="n">
        <f aca="false">C53+B54</f>
        <v>275654</v>
      </c>
      <c r="D54" s="28" t="n">
        <f aca="false">Parametres!$B$15+Parametres!$B$16*(A54-1)</f>
        <v>1815</v>
      </c>
      <c r="E54" s="28" t="n">
        <f aca="false">Parametres!$B$17+Parametres!$B$18*(A54-1)</f>
        <v>304</v>
      </c>
      <c r="F54" s="28" t="n">
        <f aca="false">Parametres!$B$19+Parametres!$B$20*(A54-1)</f>
        <v>127.5</v>
      </c>
      <c r="G54" s="30" t="n">
        <f aca="false">Parametres!$B$21+Parametres!$B$22*(A54/(A54+Parametres!$B$23))</f>
        <v>0.157142857142857</v>
      </c>
      <c r="H54" s="28" t="n">
        <f aca="false">IF(A54=1,0,Parametres!$B$70+Parametres!$B$71*INT(A54/5))</f>
        <v>13</v>
      </c>
      <c r="I54" s="29" t="n">
        <f aca="false">I53+H54</f>
        <v>382</v>
      </c>
      <c r="J54" s="28" t="n">
        <f aca="false">ROUND(C54/Parametres!$B$104,0)</f>
        <v>1428</v>
      </c>
      <c r="K54" s="31" t="n">
        <f aca="false">ROUND(J54/Parametres!$B$46,1)</f>
        <v>357</v>
      </c>
      <c r="L54" s="32" t="n">
        <f aca="false">ROUND(K54/4.345,1)</f>
        <v>82.2</v>
      </c>
      <c r="M54" s="35" t="s">
        <v>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7"/>
    <col collapsed="false" customWidth="true" hidden="false" outlineLevel="0" max="3" min="3" style="1" width="13"/>
    <col collapsed="false" customWidth="true" hidden="false" outlineLevel="0" max="4" min="4" style="1" width="20"/>
    <col collapsed="false" customWidth="true" hidden="false" outlineLevel="0" max="5" min="5" style="1" width="16"/>
    <col collapsed="false" customWidth="true" hidden="false" outlineLevel="0" max="7" min="6" style="1" width="13"/>
    <col collapsed="false" customWidth="true" hidden="false" outlineLevel="0" max="8" min="8" style="1" width="12"/>
    <col collapsed="false" customWidth="true" hidden="false" outlineLevel="0" max="9" min="9" style="1" width="13"/>
  </cols>
  <sheetData>
    <row r="1" customFormat="false" ht="17.25" hidden="false" customHeight="true" outlineLevel="0" collapsed="false">
      <c r="A1" s="2" t="s">
        <v>305</v>
      </c>
    </row>
    <row r="2" customFormat="false" ht="15" hidden="false" customHeight="true" outlineLevel="0" collapsed="false">
      <c r="A2" s="18" t="s">
        <v>306</v>
      </c>
    </row>
    <row r="4" customFormat="false" ht="15" hidden="false" customHeight="true" outlineLevel="0" collapsed="false">
      <c r="A4" s="6" t="s">
        <v>307</v>
      </c>
    </row>
    <row r="5" customFormat="false" ht="15" hidden="false" customHeight="true" outlineLevel="0" collapsed="false">
      <c r="A5" s="4" t="s">
        <v>308</v>
      </c>
      <c r="B5" s="36" t="s">
        <v>309</v>
      </c>
    </row>
    <row r="6" customFormat="false" ht="15" hidden="false" customHeight="true" outlineLevel="0" collapsed="false">
      <c r="A6" s="4" t="s">
        <v>310</v>
      </c>
      <c r="B6" s="36" t="s">
        <v>311</v>
      </c>
    </row>
    <row r="7" customFormat="false" ht="15" hidden="false" customHeight="true" outlineLevel="0" collapsed="false">
      <c r="A7" s="4" t="s">
        <v>312</v>
      </c>
      <c r="B7" s="36" t="s">
        <v>313</v>
      </c>
    </row>
    <row r="8" customFormat="false" ht="15" hidden="false" customHeight="true" outlineLevel="0" collapsed="false">
      <c r="A8" s="4" t="s">
        <v>314</v>
      </c>
      <c r="B8" s="36" t="s">
        <v>315</v>
      </c>
    </row>
    <row r="10" customFormat="false" ht="15" hidden="false" customHeight="true" outlineLevel="0" collapsed="false">
      <c r="A10" s="6" t="s">
        <v>316</v>
      </c>
    </row>
    <row r="11" customFormat="false" ht="15" hidden="false" customHeight="true" outlineLevel="0" collapsed="false">
      <c r="A11" s="19" t="s">
        <v>317</v>
      </c>
      <c r="B11" s="19" t="s">
        <v>318</v>
      </c>
      <c r="C11" s="19" t="s">
        <v>319</v>
      </c>
      <c r="D11" s="19" t="s">
        <v>320</v>
      </c>
      <c r="E11" s="19" t="s">
        <v>321</v>
      </c>
      <c r="F11" s="19" t="s">
        <v>322</v>
      </c>
      <c r="G11" s="19" t="s">
        <v>323</v>
      </c>
      <c r="H11" s="19" t="s">
        <v>324</v>
      </c>
      <c r="I11" s="19" t="s">
        <v>325</v>
      </c>
    </row>
    <row r="12" customFormat="false" ht="15" hidden="false" customHeight="true" outlineLevel="0" collapsed="false">
      <c r="A12" s="37" t="s">
        <v>326</v>
      </c>
      <c r="B12" s="38" t="n">
        <v>9000</v>
      </c>
      <c r="C12" s="39" t="n">
        <v>0</v>
      </c>
      <c r="D12" s="21" t="n">
        <f aca="false">ROUND(Parametres!$B$5+B12/Parametres!$B$6+C12*Parametres!$B$7,0)</f>
        <v>95</v>
      </c>
      <c r="E12" s="40" t="n">
        <v>1</v>
      </c>
      <c r="F12" s="40" t="n">
        <v>0.9</v>
      </c>
      <c r="G12" s="40" t="n">
        <v>1</v>
      </c>
      <c r="H12" s="41" t="n">
        <f aca="false">ROUND(D12*E12*F12*G12,0)</f>
        <v>86</v>
      </c>
      <c r="I12" s="23" t="n">
        <f aca="false">H12/Progression!$C$9</f>
        <v>0.101057579318449</v>
      </c>
    </row>
    <row r="13" customFormat="false" ht="15" hidden="false" customHeight="true" outlineLevel="0" collapsed="false">
      <c r="A13" s="37" t="s">
        <v>327</v>
      </c>
      <c r="B13" s="38" t="n">
        <v>20000</v>
      </c>
      <c r="C13" s="39" t="n">
        <v>0</v>
      </c>
      <c r="D13" s="21" t="n">
        <f aca="false">ROUND(Parametres!$B$5+B13/Parametres!$B$6+C13*Parametres!$B$7,0)</f>
        <v>150</v>
      </c>
      <c r="E13" s="40" t="n">
        <v>1</v>
      </c>
      <c r="F13" s="40" t="n">
        <v>1</v>
      </c>
      <c r="G13" s="40" t="n">
        <v>1</v>
      </c>
      <c r="H13" s="41" t="n">
        <f aca="false">ROUND(D13*E13*F13*G13,0)</f>
        <v>150</v>
      </c>
      <c r="I13" s="23" t="n">
        <f aca="false">H13/Progression!$C$9</f>
        <v>0.176263219741481</v>
      </c>
    </row>
    <row r="14" customFormat="false" ht="15" hidden="false" customHeight="true" outlineLevel="0" collapsed="false">
      <c r="A14" s="37" t="s">
        <v>328</v>
      </c>
      <c r="B14" s="38" t="n">
        <v>20000</v>
      </c>
      <c r="C14" s="39" t="n">
        <v>0</v>
      </c>
      <c r="D14" s="21" t="n">
        <f aca="false">ROUND(Parametres!$B$5+B14/Parametres!$B$6+C14*Parametres!$B$7,0)</f>
        <v>150</v>
      </c>
      <c r="E14" s="42" t="n">
        <f aca="false">1+'Nutrition-Moral'!$C$9</f>
        <v>1.17</v>
      </c>
      <c r="F14" s="40" t="n">
        <v>1</v>
      </c>
      <c r="G14" s="40" t="n">
        <v>1</v>
      </c>
      <c r="H14" s="41" t="n">
        <f aca="false">ROUND(D14*E14*F14*G14,0)</f>
        <v>176</v>
      </c>
      <c r="I14" s="23" t="n">
        <f aca="false">H14/Progression!$C$9</f>
        <v>0.206815511163337</v>
      </c>
    </row>
    <row r="15" customFormat="false" ht="15" hidden="false" customHeight="true" outlineLevel="0" collapsed="false">
      <c r="A15" s="37" t="s">
        <v>329</v>
      </c>
      <c r="B15" s="38" t="n">
        <v>20000</v>
      </c>
      <c r="C15" s="39" t="n">
        <v>1</v>
      </c>
      <c r="D15" s="21" t="n">
        <f aca="false">ROUND(Parametres!$B$5+B15/Parametres!$B$6+C15*Parametres!$B$7,0)</f>
        <v>175</v>
      </c>
      <c r="E15" s="42" t="n">
        <f aca="false">1+'Nutrition-Moral'!$C$9</f>
        <v>1.17</v>
      </c>
      <c r="F15" s="40" t="n">
        <v>1</v>
      </c>
      <c r="G15" s="40" t="n">
        <v>1</v>
      </c>
      <c r="H15" s="41" t="n">
        <f aca="false">ROUND(D15*E15*F15*G15,0)</f>
        <v>205</v>
      </c>
      <c r="I15" s="23" t="n">
        <f aca="false">H15/Progression!$C$9</f>
        <v>0.240893066980024</v>
      </c>
    </row>
    <row r="16" customFormat="false" ht="15" hidden="false" customHeight="true" outlineLevel="0" collapsed="false">
      <c r="A16" s="37" t="s">
        <v>330</v>
      </c>
      <c r="B16" s="38" t="n">
        <v>30000</v>
      </c>
      <c r="C16" s="39" t="n">
        <v>2</v>
      </c>
      <c r="D16" s="21" t="n">
        <f aca="false">ROUND(Parametres!$B$5+B16/Parametres!$B$6+C16*Parametres!$B$7,0)</f>
        <v>250</v>
      </c>
      <c r="E16" s="42" t="n">
        <f aca="false">'Nutrition-Moral'!$D$32</f>
        <v>1.32</v>
      </c>
      <c r="F16" s="40" t="n">
        <v>1</v>
      </c>
      <c r="G16" s="40" t="n">
        <v>1.2</v>
      </c>
      <c r="H16" s="41" t="n">
        <f aca="false">ROUND(D16*E16*F16*G16,0)</f>
        <v>396</v>
      </c>
      <c r="I16" s="23" t="n">
        <f aca="false">H16/Progression!$C$9</f>
        <v>0.465334900117509</v>
      </c>
    </row>
    <row r="17" customFormat="false" ht="15" hidden="false" customHeight="true" outlineLevel="0" collapsed="false">
      <c r="A17" s="37" t="s">
        <v>331</v>
      </c>
      <c r="B17" s="38" t="n">
        <v>30000</v>
      </c>
      <c r="C17" s="39" t="n">
        <v>2</v>
      </c>
      <c r="D17" s="21" t="n">
        <f aca="false">ROUND(Parametres!$B$5+B17/Parametres!$B$6+C17*Parametres!$B$7,0)</f>
        <v>250</v>
      </c>
      <c r="E17" s="40" t="n">
        <v>1</v>
      </c>
      <c r="F17" s="40" t="n">
        <v>0.85</v>
      </c>
      <c r="G17" s="40" t="n">
        <v>1</v>
      </c>
      <c r="H17" s="41" t="n">
        <f aca="false">ROUND(D17*E17*F17*G17,0)</f>
        <v>213</v>
      </c>
      <c r="I17" s="23" t="n">
        <f aca="false">H17/Progression!$C$9</f>
        <v>0.250293772032903</v>
      </c>
    </row>
    <row r="19" customFormat="false" ht="15" hidden="false" customHeight="true" outlineLevel="0" collapsed="false">
      <c r="A19" s="34" t="s">
        <v>332</v>
      </c>
    </row>
    <row r="21" customFormat="false" ht="15" hidden="false" customHeight="true" outlineLevel="0" collapsed="false">
      <c r="A21" s="6" t="s">
        <v>333</v>
      </c>
    </row>
    <row r="22" customFormat="false" ht="15" hidden="false" customHeight="true" outlineLevel="0" collapsed="false">
      <c r="A22" s="19" t="s">
        <v>334</v>
      </c>
      <c r="B22" s="19" t="s">
        <v>335</v>
      </c>
      <c r="C22" s="19" t="s">
        <v>336</v>
      </c>
      <c r="D22" s="19" t="s">
        <v>337</v>
      </c>
      <c r="E22" s="19" t="s">
        <v>318</v>
      </c>
    </row>
    <row r="23" customFormat="false" ht="15" hidden="false" customHeight="true" outlineLevel="0" collapsed="false">
      <c r="A23" s="36" t="s">
        <v>338</v>
      </c>
      <c r="B23" s="36" t="n">
        <v>5</v>
      </c>
      <c r="C23" s="36" t="s">
        <v>339</v>
      </c>
      <c r="D23" s="36" t="n">
        <v>60</v>
      </c>
      <c r="E23" s="22" t="n">
        <f aca="false">B23*30*D23</f>
        <v>9000</v>
      </c>
    </row>
    <row r="24" customFormat="false" ht="15" hidden="false" customHeight="true" outlineLevel="0" collapsed="false">
      <c r="A24" s="36" t="s">
        <v>340</v>
      </c>
      <c r="B24" s="36" t="n">
        <v>7</v>
      </c>
      <c r="C24" s="36" t="s">
        <v>341</v>
      </c>
      <c r="D24" s="36" t="n">
        <v>85</v>
      </c>
      <c r="E24" s="22" t="n">
        <f aca="false">B24*32*D24</f>
        <v>19040</v>
      </c>
    </row>
    <row r="25" customFormat="false" ht="15" hidden="false" customHeight="true" outlineLevel="0" collapsed="false">
      <c r="A25" s="36" t="s">
        <v>342</v>
      </c>
      <c r="B25" s="36" t="n">
        <v>6</v>
      </c>
      <c r="C25" s="36" t="s">
        <v>341</v>
      </c>
      <c r="D25" s="36" t="n">
        <v>145</v>
      </c>
      <c r="E25" s="22" t="n">
        <f aca="false">B25*32*D25</f>
        <v>27840</v>
      </c>
    </row>
    <row r="26" customFormat="false" ht="15" hidden="false" customHeight="true" outlineLevel="0" collapsed="false">
      <c r="A26" s="36" t="s">
        <v>343</v>
      </c>
      <c r="B26" s="36" t="n">
        <v>9</v>
      </c>
      <c r="C26" s="36" t="s">
        <v>341</v>
      </c>
      <c r="D26" s="36" t="n">
        <v>100</v>
      </c>
      <c r="E26" s="22" t="n">
        <f aca="false">B26*32*D26</f>
        <v>28800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24"/>
    <col collapsed="false" customWidth="true" hidden="false" outlineLevel="0" max="3" min="3" style="1" width="22"/>
    <col collapsed="false" customWidth="true" hidden="false" outlineLevel="0" max="4" min="4" style="1" width="30"/>
    <col collapsed="false" customWidth="true" hidden="false" outlineLevel="0" max="5" min="5" style="1" width="20"/>
    <col collapsed="false" customWidth="true" hidden="false" outlineLevel="0" max="6" min="6" style="1" width="16"/>
  </cols>
  <sheetData>
    <row r="1" customFormat="false" ht="17.25" hidden="false" customHeight="true" outlineLevel="0" collapsed="false">
      <c r="A1" s="2" t="s">
        <v>344</v>
      </c>
    </row>
    <row r="2" customFormat="false" ht="15" hidden="false" customHeight="true" outlineLevel="0" collapsed="false">
      <c r="A2" s="18" t="s">
        <v>345</v>
      </c>
    </row>
    <row r="4" customFormat="false" ht="15" hidden="false" customHeight="true" outlineLevel="0" collapsed="false">
      <c r="A4" s="6" t="s">
        <v>346</v>
      </c>
    </row>
    <row r="5" customFormat="false" ht="15" hidden="false" customHeight="true" outlineLevel="0" collapsed="false">
      <c r="A5" s="19" t="s">
        <v>347</v>
      </c>
      <c r="B5" s="19" t="s">
        <v>348</v>
      </c>
      <c r="C5" s="19" t="s">
        <v>349</v>
      </c>
      <c r="D5" s="19" t="s">
        <v>350</v>
      </c>
    </row>
    <row r="6" customFormat="false" ht="15" hidden="false" customHeight="true" outlineLevel="0" collapsed="false">
      <c r="A6" s="20" t="s">
        <v>351</v>
      </c>
      <c r="B6" s="36" t="s">
        <v>352</v>
      </c>
      <c r="C6" s="43" t="n">
        <f aca="false">Parametres!$B$28</f>
        <v>0.05</v>
      </c>
      <c r="D6" s="8" t="s">
        <v>353</v>
      </c>
    </row>
    <row r="7" customFormat="false" ht="15" hidden="false" customHeight="true" outlineLevel="0" collapsed="false">
      <c r="A7" s="20" t="s">
        <v>354</v>
      </c>
      <c r="B7" s="36" t="s">
        <v>355</v>
      </c>
      <c r="C7" s="43" t="n">
        <f aca="false">Parametres!$B$29</f>
        <v>0.08</v>
      </c>
      <c r="D7" s="8" t="s">
        <v>353</v>
      </c>
    </row>
    <row r="8" customFormat="false" ht="15" hidden="false" customHeight="true" outlineLevel="0" collapsed="false">
      <c r="A8" s="20" t="s">
        <v>356</v>
      </c>
      <c r="B8" s="36" t="s">
        <v>357</v>
      </c>
      <c r="C8" s="43" t="n">
        <f aca="false">Parametres!$B$30</f>
        <v>0.04</v>
      </c>
      <c r="D8" s="8" t="s">
        <v>353</v>
      </c>
    </row>
    <row r="9" customFormat="false" ht="15" hidden="false" customHeight="true" outlineLevel="0" collapsed="false">
      <c r="A9" s="44" t="s">
        <v>358</v>
      </c>
      <c r="C9" s="45" t="n">
        <f aca="false">SUM(C6:C8)</f>
        <v>0.17</v>
      </c>
    </row>
    <row r="11" customFormat="false" ht="15" hidden="false" customHeight="true" outlineLevel="0" collapsed="false">
      <c r="A11" s="6" t="s">
        <v>359</v>
      </c>
    </row>
    <row r="12" customFormat="false" ht="21.75" hidden="false" customHeight="true" outlineLevel="0" collapsed="false">
      <c r="A12" s="19" t="s">
        <v>351</v>
      </c>
      <c r="B12" s="19" t="s">
        <v>354</v>
      </c>
      <c r="C12" s="19" t="s">
        <v>356</v>
      </c>
      <c r="D12" s="19" t="s">
        <v>360</v>
      </c>
      <c r="E12" s="19" t="s">
        <v>361</v>
      </c>
      <c r="F12" s="19" t="s">
        <v>362</v>
      </c>
    </row>
    <row r="13" customFormat="false" ht="15" hidden="false" customHeight="true" outlineLevel="0" collapsed="false">
      <c r="A13" s="37" t="s">
        <v>363</v>
      </c>
      <c r="B13" s="37" t="s">
        <v>363</v>
      </c>
      <c r="C13" s="37" t="s">
        <v>363</v>
      </c>
      <c r="D13" s="43" t="n">
        <f aca="false">Parametres!$B$28+Parametres!$B$29+Parametres!$B$30</f>
        <v>0.17</v>
      </c>
      <c r="E13" s="37" t="n">
        <v>3</v>
      </c>
      <c r="F13" s="46" t="s">
        <v>364</v>
      </c>
    </row>
    <row r="14" customFormat="false" ht="15" hidden="false" customHeight="true" outlineLevel="0" collapsed="false">
      <c r="A14" s="37" t="s">
        <v>363</v>
      </c>
      <c r="B14" s="37" t="s">
        <v>363</v>
      </c>
      <c r="C14" s="37" t="s">
        <v>365</v>
      </c>
      <c r="D14" s="43" t="n">
        <f aca="false">Parametres!$B$28+Parametres!$B$29+0</f>
        <v>0.13</v>
      </c>
      <c r="E14" s="37" t="n">
        <v>2</v>
      </c>
      <c r="F14" s="46" t="s">
        <v>364</v>
      </c>
    </row>
    <row r="15" customFormat="false" ht="15" hidden="false" customHeight="true" outlineLevel="0" collapsed="false">
      <c r="A15" s="37" t="s">
        <v>363</v>
      </c>
      <c r="B15" s="37" t="s">
        <v>365</v>
      </c>
      <c r="C15" s="37" t="s">
        <v>363</v>
      </c>
      <c r="D15" s="43" t="n">
        <f aca="false">Parametres!$B$28+0+Parametres!$B$30</f>
        <v>0.09</v>
      </c>
      <c r="E15" s="37" t="n">
        <v>2</v>
      </c>
      <c r="F15" s="46" t="s">
        <v>364</v>
      </c>
    </row>
    <row r="16" customFormat="false" ht="15" hidden="false" customHeight="true" outlineLevel="0" collapsed="false">
      <c r="A16" s="37" t="s">
        <v>363</v>
      </c>
      <c r="B16" s="37" t="s">
        <v>365</v>
      </c>
      <c r="C16" s="37" t="s">
        <v>365</v>
      </c>
      <c r="D16" s="43" t="n">
        <f aca="false">Parametres!$B$28+0+0</f>
        <v>0.05</v>
      </c>
      <c r="E16" s="37" t="n">
        <v>1</v>
      </c>
      <c r="F16" s="47" t="s">
        <v>366</v>
      </c>
    </row>
    <row r="17" customFormat="false" ht="15" hidden="false" customHeight="true" outlineLevel="0" collapsed="false">
      <c r="A17" s="37" t="s">
        <v>365</v>
      </c>
      <c r="B17" s="37" t="s">
        <v>363</v>
      </c>
      <c r="C17" s="37" t="s">
        <v>363</v>
      </c>
      <c r="D17" s="43" t="n">
        <f aca="false">0+Parametres!$B$29+Parametres!$B$30</f>
        <v>0.12</v>
      </c>
      <c r="E17" s="37" t="n">
        <v>2</v>
      </c>
      <c r="F17" s="46" t="s">
        <v>364</v>
      </c>
    </row>
    <row r="18" customFormat="false" ht="15" hidden="false" customHeight="true" outlineLevel="0" collapsed="false">
      <c r="A18" s="37" t="s">
        <v>365</v>
      </c>
      <c r="B18" s="37" t="s">
        <v>363</v>
      </c>
      <c r="C18" s="37" t="s">
        <v>365</v>
      </c>
      <c r="D18" s="43" t="n">
        <f aca="false">0+Parametres!$B$29+0</f>
        <v>0.08</v>
      </c>
      <c r="E18" s="37" t="n">
        <v>1</v>
      </c>
      <c r="F18" s="47" t="s">
        <v>366</v>
      </c>
    </row>
    <row r="19" customFormat="false" ht="15" hidden="false" customHeight="true" outlineLevel="0" collapsed="false">
      <c r="A19" s="37" t="s">
        <v>365</v>
      </c>
      <c r="B19" s="37" t="s">
        <v>365</v>
      </c>
      <c r="C19" s="37" t="s">
        <v>363</v>
      </c>
      <c r="D19" s="43" t="n">
        <f aca="false">0+0+Parametres!$B$30</f>
        <v>0.04</v>
      </c>
      <c r="E19" s="37" t="n">
        <v>1</v>
      </c>
      <c r="F19" s="47" t="s">
        <v>366</v>
      </c>
    </row>
    <row r="20" customFormat="false" ht="15" hidden="false" customHeight="true" outlineLevel="0" collapsed="false">
      <c r="A20" s="48" t="s">
        <v>365</v>
      </c>
      <c r="B20" s="48" t="s">
        <v>365</v>
      </c>
      <c r="C20" s="48" t="s">
        <v>365</v>
      </c>
      <c r="D20" s="49" t="n">
        <f aca="false">0+0+0</f>
        <v>0</v>
      </c>
      <c r="E20" s="48" t="n">
        <v>0</v>
      </c>
      <c r="F20" s="50" t="s">
        <v>366</v>
      </c>
    </row>
    <row r="21" customFormat="false" ht="15" hidden="false" customHeight="true" outlineLevel="0" collapsed="false">
      <c r="A21" s="34" t="s">
        <v>367</v>
      </c>
    </row>
    <row r="23" customFormat="false" ht="15" hidden="false" customHeight="true" outlineLevel="0" collapsed="false">
      <c r="A23" s="6" t="s">
        <v>368</v>
      </c>
    </row>
    <row r="24" customFormat="false" ht="15" hidden="false" customHeight="true" outlineLevel="0" collapsed="false">
      <c r="A24" s="8" t="s">
        <v>369</v>
      </c>
    </row>
    <row r="25" customFormat="false" ht="21.75" hidden="false" customHeight="true" outlineLevel="0" collapsed="false">
      <c r="A25" s="19" t="s">
        <v>370</v>
      </c>
      <c r="B25" s="19" t="s">
        <v>371</v>
      </c>
      <c r="C25" s="19" t="s">
        <v>372</v>
      </c>
      <c r="D25" s="19" t="s">
        <v>373</v>
      </c>
    </row>
    <row r="26" customFormat="false" ht="15" hidden="false" customHeight="true" outlineLevel="0" collapsed="false">
      <c r="A26" s="51" t="n">
        <v>0</v>
      </c>
      <c r="B26" s="23" t="n">
        <f aca="false">MIN(A26*Parametres!$B$31,Parametres!$B$32)</f>
        <v>0</v>
      </c>
      <c r="C26" s="52" t="n">
        <f aca="false">MIN(A26*Parametres!$B$33,Parametres!$B$34)</f>
        <v>0</v>
      </c>
      <c r="D26" s="53" t="n">
        <f aca="false">1+Parametres!$B$28+Parametres!$B$29+Parametres!$B$30+B26</f>
        <v>1.17</v>
      </c>
    </row>
    <row r="27" customFormat="false" ht="15" hidden="false" customHeight="true" outlineLevel="0" collapsed="false">
      <c r="A27" s="51" t="n">
        <v>1</v>
      </c>
      <c r="B27" s="23" t="n">
        <f aca="false">MIN(A27*Parametres!$B$31,Parametres!$B$32)</f>
        <v>0.01</v>
      </c>
      <c r="C27" s="52" t="n">
        <f aca="false">MIN(A27*Parametres!$B$33,Parametres!$B$34)</f>
        <v>2</v>
      </c>
      <c r="D27" s="53" t="n">
        <f aca="false">1+Parametres!$B$28+Parametres!$B$29+Parametres!$B$30+B27</f>
        <v>1.18</v>
      </c>
    </row>
    <row r="28" customFormat="false" ht="15" hidden="false" customHeight="true" outlineLevel="0" collapsed="false">
      <c r="A28" s="51" t="n">
        <v>3</v>
      </c>
      <c r="B28" s="23" t="n">
        <f aca="false">MIN(A28*Parametres!$B$31,Parametres!$B$32)</f>
        <v>0.03</v>
      </c>
      <c r="C28" s="52" t="n">
        <f aca="false">MIN(A28*Parametres!$B$33,Parametres!$B$34)</f>
        <v>6</v>
      </c>
      <c r="D28" s="53" t="n">
        <f aca="false">1+Parametres!$B$28+Parametres!$B$29+Parametres!$B$30+B28</f>
        <v>1.2</v>
      </c>
    </row>
    <row r="29" customFormat="false" ht="15" hidden="false" customHeight="true" outlineLevel="0" collapsed="false">
      <c r="A29" s="51" t="n">
        <v>5</v>
      </c>
      <c r="B29" s="23" t="n">
        <f aca="false">MIN(A29*Parametres!$B$31,Parametres!$B$32)</f>
        <v>0.05</v>
      </c>
      <c r="C29" s="52" t="n">
        <f aca="false">MIN(A29*Parametres!$B$33,Parametres!$B$34)</f>
        <v>10</v>
      </c>
      <c r="D29" s="53" t="n">
        <f aca="false">1+Parametres!$B$28+Parametres!$B$29+Parametres!$B$30+B29</f>
        <v>1.22</v>
      </c>
    </row>
    <row r="30" customFormat="false" ht="15" hidden="false" customHeight="true" outlineLevel="0" collapsed="false">
      <c r="A30" s="51" t="n">
        <v>7</v>
      </c>
      <c r="B30" s="23" t="n">
        <f aca="false">MIN(A30*Parametres!$B$31,Parametres!$B$32)</f>
        <v>0.07</v>
      </c>
      <c r="C30" s="52" t="n">
        <f aca="false">MIN(A30*Parametres!$B$33,Parametres!$B$34)</f>
        <v>14</v>
      </c>
      <c r="D30" s="53" t="n">
        <f aca="false">1+Parametres!$B$28+Parametres!$B$29+Parametres!$B$30+B30</f>
        <v>1.24</v>
      </c>
    </row>
    <row r="31" customFormat="false" ht="15" hidden="false" customHeight="true" outlineLevel="0" collapsed="false">
      <c r="A31" s="51" t="n">
        <v>10</v>
      </c>
      <c r="B31" s="23" t="n">
        <f aca="false">MIN(A31*Parametres!$B$31,Parametres!$B$32)</f>
        <v>0.1</v>
      </c>
      <c r="C31" s="52" t="n">
        <f aca="false">MIN(A31*Parametres!$B$33,Parametres!$B$34)</f>
        <v>20</v>
      </c>
      <c r="D31" s="53" t="n">
        <f aca="false">1+Parametres!$B$28+Parametres!$B$29+Parametres!$B$30+B31</f>
        <v>1.27</v>
      </c>
    </row>
    <row r="32" customFormat="false" ht="15" hidden="false" customHeight="true" outlineLevel="0" collapsed="false">
      <c r="A32" s="51" t="n">
        <v>15</v>
      </c>
      <c r="B32" s="23" t="n">
        <f aca="false">MIN(A32*Parametres!$B$31,Parametres!$B$32)</f>
        <v>0.15</v>
      </c>
      <c r="C32" s="52" t="n">
        <f aca="false">MIN(A32*Parametres!$B$33,Parametres!$B$34)</f>
        <v>30</v>
      </c>
      <c r="D32" s="53" t="n">
        <f aca="false">1+Parametres!$B$28+Parametres!$B$29+Parametres!$B$30+B32</f>
        <v>1.32</v>
      </c>
    </row>
    <row r="33" customFormat="false" ht="15" hidden="false" customHeight="true" outlineLevel="0" collapsed="false">
      <c r="A33" s="51" t="n">
        <v>20</v>
      </c>
      <c r="B33" s="23" t="n">
        <f aca="false">MIN(A33*Parametres!$B$31,Parametres!$B$32)</f>
        <v>0.15</v>
      </c>
      <c r="C33" s="52" t="n">
        <f aca="false">MIN(A33*Parametres!$B$33,Parametres!$B$34)</f>
        <v>30</v>
      </c>
      <c r="D33" s="53" t="n">
        <f aca="false">1+Parametres!$B$28+Parametres!$B$29+Parametres!$B$30+B33</f>
        <v>1.32</v>
      </c>
    </row>
    <row r="35" customFormat="false" ht="15" hidden="false" customHeight="true" outlineLevel="0" collapsed="false">
      <c r="A35" s="34" t="s">
        <v>374</v>
      </c>
    </row>
    <row r="37" customFormat="false" ht="15" hidden="false" customHeight="true" outlineLevel="0" collapsed="false">
      <c r="A37" s="6" t="s">
        <v>375</v>
      </c>
    </row>
    <row r="38" customFormat="false" ht="15" hidden="false" customHeight="true" outlineLevel="0" collapsed="false">
      <c r="A38" s="19" t="s">
        <v>376</v>
      </c>
      <c r="B38" s="19" t="s">
        <v>377</v>
      </c>
      <c r="C38" s="19" t="s">
        <v>378</v>
      </c>
      <c r="D38" s="19" t="s">
        <v>379</v>
      </c>
      <c r="E38" s="19" t="s">
        <v>380</v>
      </c>
      <c r="F38" s="19" t="s">
        <v>381</v>
      </c>
    </row>
    <row r="39" customFormat="false" ht="15" hidden="false" customHeight="true" outlineLevel="0" collapsed="false">
      <c r="A39" s="20" t="s">
        <v>382</v>
      </c>
      <c r="B39" s="51" t="s">
        <v>363</v>
      </c>
      <c r="C39" s="54" t="n">
        <f aca="false">IF(B39="Oui",IF(ROW()=39,1,C38+1),0)</f>
        <v>1</v>
      </c>
      <c r="D39" s="23" t="n">
        <f aca="false">MIN(C39*Parametres!$B$31,Parametres!$B$32)</f>
        <v>0.01</v>
      </c>
      <c r="E39" s="23" t="n">
        <f aca="false">IF(B39="Oui",Parametres!$B$28+Parametres!$B$29+Parametres!$B$30,0)</f>
        <v>0.17</v>
      </c>
      <c r="F39" s="55" t="n">
        <f aca="false">1+E39+D39</f>
        <v>1.18</v>
      </c>
    </row>
    <row r="40" customFormat="false" ht="15" hidden="false" customHeight="true" outlineLevel="0" collapsed="false">
      <c r="A40" s="20" t="s">
        <v>383</v>
      </c>
      <c r="B40" s="51" t="s">
        <v>363</v>
      </c>
      <c r="C40" s="54" t="n">
        <f aca="false">IF(B40="Oui",IF(ROW()=39,1,C39+1),0)</f>
        <v>2</v>
      </c>
      <c r="D40" s="23" t="n">
        <f aca="false">MIN(C40*Parametres!$B$31,Parametres!$B$32)</f>
        <v>0.02</v>
      </c>
      <c r="E40" s="23" t="n">
        <f aca="false">IF(B40="Oui",Parametres!$B$28+Parametres!$B$29+Parametres!$B$30,0)</f>
        <v>0.17</v>
      </c>
      <c r="F40" s="55" t="n">
        <f aca="false">1+E40+D40</f>
        <v>1.19</v>
      </c>
    </row>
    <row r="41" customFormat="false" ht="15" hidden="false" customHeight="true" outlineLevel="0" collapsed="false">
      <c r="A41" s="20" t="s">
        <v>384</v>
      </c>
      <c r="B41" s="51" t="s">
        <v>365</v>
      </c>
      <c r="C41" s="54" t="n">
        <f aca="false">IF(B41="Oui",IF(ROW()=39,1,C40+1),0)</f>
        <v>0</v>
      </c>
      <c r="D41" s="23" t="n">
        <f aca="false">MIN(C41*Parametres!$B$31,Parametres!$B$32)</f>
        <v>0</v>
      </c>
      <c r="E41" s="23" t="n">
        <f aca="false">IF(B41="Oui",Parametres!$B$28+Parametres!$B$29+Parametres!$B$30,0)</f>
        <v>0</v>
      </c>
      <c r="F41" s="55" t="n">
        <f aca="false">1+E41+D41</f>
        <v>1</v>
      </c>
    </row>
    <row r="42" customFormat="false" ht="15" hidden="false" customHeight="true" outlineLevel="0" collapsed="false">
      <c r="A42" s="20" t="s">
        <v>385</v>
      </c>
      <c r="B42" s="51" t="s">
        <v>363</v>
      </c>
      <c r="C42" s="54" t="n">
        <f aca="false">IF(B42="Oui",IF(ROW()=39,1,C41+1),0)</f>
        <v>1</v>
      </c>
      <c r="D42" s="23" t="n">
        <f aca="false">MIN(C42*Parametres!$B$31,Parametres!$B$32)</f>
        <v>0.01</v>
      </c>
      <c r="E42" s="23" t="n">
        <f aca="false">IF(B42="Oui",Parametres!$B$28+Parametres!$B$29+Parametres!$B$30,0)</f>
        <v>0.17</v>
      </c>
      <c r="F42" s="55" t="n">
        <f aca="false">1+E42+D42</f>
        <v>1.18</v>
      </c>
    </row>
    <row r="43" customFormat="false" ht="15" hidden="false" customHeight="true" outlineLevel="0" collapsed="false">
      <c r="A43" s="20" t="s">
        <v>386</v>
      </c>
      <c r="B43" s="51" t="s">
        <v>363</v>
      </c>
      <c r="C43" s="54" t="n">
        <f aca="false">IF(B43="Oui",IF(ROW()=39,1,C42+1),0)</f>
        <v>2</v>
      </c>
      <c r="D43" s="23" t="n">
        <f aca="false">MIN(C43*Parametres!$B$31,Parametres!$B$32)</f>
        <v>0.02</v>
      </c>
      <c r="E43" s="23" t="n">
        <f aca="false">IF(B43="Oui",Parametres!$B$28+Parametres!$B$29+Parametres!$B$30,0)</f>
        <v>0.17</v>
      </c>
      <c r="F43" s="55" t="n">
        <f aca="false">1+E43+D43</f>
        <v>1.19</v>
      </c>
    </row>
    <row r="44" customFormat="false" ht="15" hidden="false" customHeight="true" outlineLevel="0" collapsed="false">
      <c r="A44" s="20" t="s">
        <v>387</v>
      </c>
      <c r="B44" s="51" t="s">
        <v>363</v>
      </c>
      <c r="C44" s="54" t="n">
        <f aca="false">IF(B44="Oui",IF(ROW()=39,1,C43+1),0)</f>
        <v>3</v>
      </c>
      <c r="D44" s="23" t="n">
        <f aca="false">MIN(C44*Parametres!$B$31,Parametres!$B$32)</f>
        <v>0.03</v>
      </c>
      <c r="E44" s="23" t="n">
        <f aca="false">IF(B44="Oui",Parametres!$B$28+Parametres!$B$29+Parametres!$B$30,0)</f>
        <v>0.17</v>
      </c>
      <c r="F44" s="55" t="n">
        <f aca="false">1+E44+D44</f>
        <v>1.2</v>
      </c>
    </row>
    <row r="45" customFormat="false" ht="15" hidden="false" customHeight="true" outlineLevel="0" collapsed="false">
      <c r="A45" s="20" t="s">
        <v>388</v>
      </c>
      <c r="B45" s="51" t="s">
        <v>365</v>
      </c>
      <c r="C45" s="54" t="n">
        <f aca="false">IF(B45="Oui",IF(ROW()=39,1,C44+1),0)</f>
        <v>0</v>
      </c>
      <c r="D45" s="23" t="n">
        <f aca="false">MIN(C45*Parametres!$B$31,Parametres!$B$32)</f>
        <v>0</v>
      </c>
      <c r="E45" s="23" t="n">
        <f aca="false">IF(B45="Oui",Parametres!$B$28+Parametres!$B$29+Parametres!$B$30,0)</f>
        <v>0</v>
      </c>
      <c r="F45" s="55" t="n">
        <f aca="false">1+E45+D45</f>
        <v>1</v>
      </c>
    </row>
    <row r="47" customFormat="false" ht="15" hidden="false" customHeight="true" outlineLevel="0" collapsed="false">
      <c r="A47" s="34" t="s">
        <v>389</v>
      </c>
    </row>
    <row r="49" customFormat="false" ht="15" hidden="false" customHeight="true" outlineLevel="0" collapsed="false">
      <c r="A49" s="6" t="s">
        <v>390</v>
      </c>
    </row>
    <row r="50" customFormat="false" ht="15" hidden="false" customHeight="true" outlineLevel="0" collapsed="false">
      <c r="A50" s="8" t="s">
        <v>391</v>
      </c>
    </row>
    <row r="51" customFormat="false" ht="15" hidden="false" customHeight="true" outlineLevel="0" collapsed="false">
      <c r="A51" s="19" t="s">
        <v>392</v>
      </c>
      <c r="B51" s="19" t="s">
        <v>393</v>
      </c>
    </row>
    <row r="52" customFormat="false" ht="15" hidden="false" customHeight="true" outlineLevel="0" collapsed="false">
      <c r="A52" s="20" t="s">
        <v>394</v>
      </c>
      <c r="B52" s="56" t="n">
        <f aca="false">Parametres!$B$38</f>
        <v>8</v>
      </c>
    </row>
    <row r="53" customFormat="false" ht="15" hidden="false" customHeight="true" outlineLevel="0" collapsed="false">
      <c r="A53" s="20" t="s">
        <v>395</v>
      </c>
      <c r="B53" s="56" t="n">
        <f aca="false">Parametres!$B$39</f>
        <v>-10</v>
      </c>
    </row>
    <row r="56" customFormat="false" ht="15" hidden="false" customHeight="true" outlineLevel="0" collapsed="false">
      <c r="A56" s="6" t="s">
        <v>396</v>
      </c>
    </row>
    <row r="57" customFormat="false" ht="15" hidden="false" customHeight="true" outlineLevel="0" collapsed="false">
      <c r="A57" s="19" t="s">
        <v>397</v>
      </c>
      <c r="B57" s="19" t="s">
        <v>398</v>
      </c>
      <c r="C57" s="19" t="s">
        <v>399</v>
      </c>
    </row>
    <row r="58" customFormat="false" ht="15" hidden="false" customHeight="true" outlineLevel="0" collapsed="false">
      <c r="A58" s="51" t="n">
        <v>0</v>
      </c>
      <c r="B58" s="57" t="n">
        <f aca="false">Parametres!$B$40+(1-Parametres!$B$40)*MIN(A58,Parametres!$B$41)/Parametres!$B$41</f>
        <v>0.85</v>
      </c>
      <c r="C58" s="58" t="str">
        <f aca="false">IF(A58&gt;=Parametres!$B$41,"Plein — aucun malus","Entame")</f>
        <v>Entame</v>
      </c>
    </row>
    <row r="59" customFormat="false" ht="15" hidden="false" customHeight="true" outlineLevel="0" collapsed="false">
      <c r="A59" s="51" t="n">
        <v>20</v>
      </c>
      <c r="B59" s="57" t="n">
        <f aca="false">Parametres!$B$40+(1-Parametres!$B$40)*MIN(A59,Parametres!$B$41)/Parametres!$B$41</f>
        <v>0.8875</v>
      </c>
      <c r="C59" s="58" t="str">
        <f aca="false">IF(A59&gt;=Parametres!$B$41,"Plein — aucun malus","Entame")</f>
        <v>Entame</v>
      </c>
    </row>
    <row r="60" customFormat="false" ht="15" hidden="false" customHeight="true" outlineLevel="0" collapsed="false">
      <c r="A60" s="51" t="n">
        <v>40</v>
      </c>
      <c r="B60" s="57" t="n">
        <f aca="false">Parametres!$B$40+(1-Parametres!$B$40)*MIN(A60,Parametres!$B$41)/Parametres!$B$41</f>
        <v>0.925</v>
      </c>
      <c r="C60" s="58" t="str">
        <f aca="false">IF(A60&gt;=Parametres!$B$41,"Plein — aucun malus","Entame")</f>
        <v>Entame</v>
      </c>
    </row>
    <row r="61" customFormat="false" ht="15" hidden="false" customHeight="true" outlineLevel="0" collapsed="false">
      <c r="A61" s="51" t="n">
        <v>60</v>
      </c>
      <c r="B61" s="57" t="n">
        <f aca="false">Parametres!$B$40+(1-Parametres!$B$40)*MIN(A61,Parametres!$B$41)/Parametres!$B$41</f>
        <v>0.9625</v>
      </c>
      <c r="C61" s="58" t="str">
        <f aca="false">IF(A61&gt;=Parametres!$B$41,"Plein — aucun malus","Entame")</f>
        <v>Entame</v>
      </c>
    </row>
    <row r="62" customFormat="false" ht="15" hidden="false" customHeight="true" outlineLevel="0" collapsed="false">
      <c r="A62" s="51" t="n">
        <v>80</v>
      </c>
      <c r="B62" s="57" t="n">
        <f aca="false">Parametres!$B$40+(1-Parametres!$B$40)*MIN(A62,Parametres!$B$41)/Parametres!$B$41</f>
        <v>1</v>
      </c>
      <c r="C62" s="58" t="str">
        <f aca="false">IF(A62&gt;=Parametres!$B$41,"Plein — aucun malus","Entame")</f>
        <v>Plein — aucun malus</v>
      </c>
    </row>
    <row r="63" customFormat="false" ht="15" hidden="false" customHeight="true" outlineLevel="0" collapsed="false">
      <c r="A63" s="51" t="n">
        <v>100</v>
      </c>
      <c r="B63" s="57" t="n">
        <f aca="false">Parametres!$B$40+(1-Parametres!$B$40)*MIN(A63,Parametres!$B$41)/Parametres!$B$41</f>
        <v>1</v>
      </c>
      <c r="C63" s="58" t="str">
        <f aca="false">IF(A63&gt;=Parametres!$B$41,"Plein — aucun malus","Entame")</f>
        <v>Plein — aucun malus</v>
      </c>
    </row>
    <row r="65" customFormat="false" ht="15" hidden="false" customHeight="true" outlineLevel="0" collapsed="false">
      <c r="A65" s="34" t="s">
        <v>400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6" min="3" style="1" width="13"/>
    <col collapsed="false" customWidth="true" hidden="false" outlineLevel="0" max="7" min="7" style="1" width="14"/>
    <col collapsed="false" customWidth="true" hidden="false" outlineLevel="0" max="8" min="8" style="1" width="13"/>
    <col collapsed="false" customWidth="true" hidden="false" outlineLevel="0" max="9" min="9" style="1" width="15"/>
  </cols>
  <sheetData>
    <row r="1" customFormat="false" ht="17.25" hidden="false" customHeight="true" outlineLevel="0" collapsed="false">
      <c r="A1" s="2" t="s">
        <v>401</v>
      </c>
    </row>
    <row r="2" customFormat="false" ht="15" hidden="false" customHeight="true" outlineLevel="0" collapsed="false">
      <c r="A2" s="18" t="s">
        <v>402</v>
      </c>
    </row>
    <row r="4" customFormat="false" ht="15" hidden="false" customHeight="true" outlineLevel="0" collapsed="false">
      <c r="A4" s="4" t="s">
        <v>403</v>
      </c>
      <c r="B4" s="59" t="n">
        <v>1</v>
      </c>
      <c r="C4" s="8" t="s">
        <v>404</v>
      </c>
    </row>
    <row r="6" customFormat="false" ht="21.75" hidden="false" customHeight="true" outlineLevel="0" collapsed="false">
      <c r="A6" s="19" t="s">
        <v>405</v>
      </c>
      <c r="B6" s="19" t="s">
        <v>406</v>
      </c>
      <c r="C6" s="19" t="s">
        <v>407</v>
      </c>
      <c r="D6" s="19" t="s">
        <v>408</v>
      </c>
      <c r="E6" s="19" t="s">
        <v>409</v>
      </c>
      <c r="F6" s="19" t="s">
        <v>410</v>
      </c>
      <c r="G6" s="19" t="s">
        <v>411</v>
      </c>
      <c r="H6" s="19" t="s">
        <v>412</v>
      </c>
      <c r="I6" s="19" t="s">
        <v>413</v>
      </c>
    </row>
    <row r="7" customFormat="false" ht="15" hidden="false" customHeight="true" outlineLevel="0" collapsed="false">
      <c r="A7" s="20" t="n">
        <v>1</v>
      </c>
      <c r="B7" s="58" t="str">
        <f aca="false">IF(A7=Parametres!$B$51,"BOSS","Monstre")</f>
        <v>Monstre</v>
      </c>
      <c r="C7" s="21" t="n">
        <f aca="false">ROUND(Parametres!$B$52*A7^Parametres!$B$53*(1+Parametres!$B$58)^($B$4-1)*IF(A7=Parametres!$B$51,Parametres!$B$59,1),0)</f>
        <v>50</v>
      </c>
      <c r="D7" s="21" t="n">
        <f aca="false">ROUND(Parametres!$B$54*A7^Parametres!$B$55*(1+Parametres!$B$58)^($B$4-1)*IF(A7=Parametres!$B$51,Parametres!$B$60,1),0)</f>
        <v>10</v>
      </c>
      <c r="E7" s="21" t="n">
        <f aca="false">ROUND(Parametres!$B$56*A7^Parametres!$B$57*(1+Parametres!$B$58)^($B$4-1),0)</f>
        <v>4</v>
      </c>
      <c r="F7" s="21" t="n">
        <f aca="false">ROUND(Parametres!$B$63*A7*(1+Parametres!$B$64*($B$4-1)),0)</f>
        <v>10</v>
      </c>
      <c r="G7" s="21" t="n">
        <f aca="false">Parametres!$B$65+IF(A7=Parametres!$B$51,Parametres!$B$66,0)</f>
        <v>1</v>
      </c>
      <c r="H7" s="22" t="n">
        <f aca="false">F7</f>
        <v>10</v>
      </c>
      <c r="I7" s="22" t="n">
        <f aca="false">G7</f>
        <v>1</v>
      </c>
    </row>
    <row r="8" customFormat="false" ht="15" hidden="false" customHeight="true" outlineLevel="0" collapsed="false">
      <c r="A8" s="20" t="n">
        <v>2</v>
      </c>
      <c r="B8" s="58" t="str">
        <f aca="false">IF(A8=Parametres!$B$51,"BOSS","Monstre")</f>
        <v>Monstre</v>
      </c>
      <c r="C8" s="21" t="n">
        <f aca="false">ROUND(Parametres!$B$52*A8^Parametres!$B$53*(1+Parametres!$B$58)^($B$4-1)*IF(A8=Parametres!$B$51,Parametres!$B$59,1),0)</f>
        <v>93</v>
      </c>
      <c r="D8" s="21" t="n">
        <f aca="false">ROUND(Parametres!$B$54*A8^Parametres!$B$55*(1+Parametres!$B$58)^($B$4-1)*IF(A8=Parametres!$B$51,Parametres!$B$60,1),0)</f>
        <v>17</v>
      </c>
      <c r="E8" s="21" t="n">
        <f aca="false">ROUND(Parametres!$B$56*A8^Parametres!$B$57*(1+Parametres!$B$58)^($B$4-1),0)</f>
        <v>7</v>
      </c>
      <c r="F8" s="21" t="n">
        <f aca="false">ROUND(Parametres!$B$63*A8*(1+Parametres!$B$64*($B$4-1)),0)</f>
        <v>20</v>
      </c>
      <c r="G8" s="21" t="n">
        <f aca="false">Parametres!$B$65+IF(A8=Parametres!$B$51,Parametres!$B$66,0)</f>
        <v>1</v>
      </c>
      <c r="H8" s="22" t="n">
        <f aca="false">H7+F8</f>
        <v>30</v>
      </c>
      <c r="I8" s="22" t="n">
        <f aca="false">I7+G8</f>
        <v>2</v>
      </c>
    </row>
    <row r="9" customFormat="false" ht="15" hidden="false" customHeight="true" outlineLevel="0" collapsed="false">
      <c r="A9" s="20" t="n">
        <v>3</v>
      </c>
      <c r="B9" s="58" t="str">
        <f aca="false">IF(A9=Parametres!$B$51,"BOSS","Monstre")</f>
        <v>Monstre</v>
      </c>
      <c r="C9" s="21" t="n">
        <f aca="false">ROUND(Parametres!$B$52*A9^Parametres!$B$53*(1+Parametres!$B$58)^($B$4-1)*IF(A9=Parametres!$B$51,Parametres!$B$59,1),0)</f>
        <v>134</v>
      </c>
      <c r="D9" s="21" t="n">
        <f aca="false">ROUND(Parametres!$B$54*A9^Parametres!$B$55*(1+Parametres!$B$58)^($B$4-1)*IF(A9=Parametres!$B$51,Parametres!$B$60,1),0)</f>
        <v>24</v>
      </c>
      <c r="E9" s="21" t="n">
        <f aca="false">ROUND(Parametres!$B$56*A9^Parametres!$B$57*(1+Parametres!$B$58)^($B$4-1),0)</f>
        <v>10</v>
      </c>
      <c r="F9" s="21" t="n">
        <f aca="false">ROUND(Parametres!$B$63*A9*(1+Parametres!$B$64*($B$4-1)),0)</f>
        <v>30</v>
      </c>
      <c r="G9" s="21" t="n">
        <f aca="false">Parametres!$B$65+IF(A9=Parametres!$B$51,Parametres!$B$66,0)</f>
        <v>1</v>
      </c>
      <c r="H9" s="22" t="n">
        <f aca="false">H8+F9</f>
        <v>60</v>
      </c>
      <c r="I9" s="22" t="n">
        <f aca="false">I8+G9</f>
        <v>3</v>
      </c>
    </row>
    <row r="10" customFormat="false" ht="15" hidden="false" customHeight="true" outlineLevel="0" collapsed="false">
      <c r="A10" s="20" t="n">
        <v>4</v>
      </c>
      <c r="B10" s="58" t="str">
        <f aca="false">IF(A10=Parametres!$B$51,"BOSS","Monstre")</f>
        <v>Monstre</v>
      </c>
      <c r="C10" s="21" t="n">
        <f aca="false">ROUND(Parametres!$B$52*A10^Parametres!$B$53*(1+Parametres!$B$58)^($B$4-1)*IF(A10=Parametres!$B$51,Parametres!$B$59,1),0)</f>
        <v>174</v>
      </c>
      <c r="D10" s="21" t="n">
        <f aca="false">ROUND(Parametres!$B$54*A10^Parametres!$B$55*(1+Parametres!$B$58)^($B$4-1)*IF(A10=Parametres!$B$51,Parametres!$B$60,1),0)</f>
        <v>30</v>
      </c>
      <c r="E10" s="21" t="n">
        <f aca="false">ROUND(Parametres!$B$56*A10^Parametres!$B$57*(1+Parametres!$B$58)^($B$4-1),0)</f>
        <v>13</v>
      </c>
      <c r="F10" s="21" t="n">
        <f aca="false">ROUND(Parametres!$B$63*A10*(1+Parametres!$B$64*($B$4-1)),0)</f>
        <v>40</v>
      </c>
      <c r="G10" s="21" t="n">
        <f aca="false">Parametres!$B$65+IF(A10=Parametres!$B$51,Parametres!$B$66,0)</f>
        <v>1</v>
      </c>
      <c r="H10" s="22" t="n">
        <f aca="false">H9+F10</f>
        <v>100</v>
      </c>
      <c r="I10" s="22" t="n">
        <f aca="false">I9+G10</f>
        <v>4</v>
      </c>
    </row>
    <row r="11" customFormat="false" ht="15" hidden="false" customHeight="true" outlineLevel="0" collapsed="false">
      <c r="A11" s="20" t="n">
        <v>5</v>
      </c>
      <c r="B11" s="58" t="str">
        <f aca="false">IF(A11=Parametres!$B$51,"BOSS","Monstre")</f>
        <v>Monstre</v>
      </c>
      <c r="C11" s="21" t="n">
        <f aca="false">ROUND(Parametres!$B$52*A11^Parametres!$B$53*(1+Parametres!$B$58)^($B$4-1)*IF(A11=Parametres!$B$51,Parametres!$B$59,1),0)</f>
        <v>213</v>
      </c>
      <c r="D11" s="21" t="n">
        <f aca="false">ROUND(Parametres!$B$54*A11^Parametres!$B$55*(1+Parametres!$B$58)^($B$4-1)*IF(A11=Parametres!$B$51,Parametres!$B$60,1),0)</f>
        <v>36</v>
      </c>
      <c r="E11" s="21" t="n">
        <f aca="false">ROUND(Parametres!$B$56*A11^Parametres!$B$57*(1+Parametres!$B$58)^($B$4-1),0)</f>
        <v>16</v>
      </c>
      <c r="F11" s="21" t="n">
        <f aca="false">ROUND(Parametres!$B$63*A11*(1+Parametres!$B$64*($B$4-1)),0)</f>
        <v>50</v>
      </c>
      <c r="G11" s="21" t="n">
        <f aca="false">Parametres!$B$65+IF(A11=Parametres!$B$51,Parametres!$B$66,0)</f>
        <v>1</v>
      </c>
      <c r="H11" s="22" t="n">
        <f aca="false">H10+F11</f>
        <v>150</v>
      </c>
      <c r="I11" s="22" t="n">
        <f aca="false">I10+G11</f>
        <v>5</v>
      </c>
    </row>
    <row r="12" customFormat="false" ht="15" hidden="false" customHeight="true" outlineLevel="0" collapsed="false">
      <c r="A12" s="20" t="n">
        <v>6</v>
      </c>
      <c r="B12" s="58" t="str">
        <f aca="false">IF(A12=Parametres!$B$51,"BOSS","Monstre")</f>
        <v>Monstre</v>
      </c>
      <c r="C12" s="21" t="n">
        <f aca="false">ROUND(Parametres!$B$52*A12^Parametres!$B$53*(1+Parametres!$B$58)^($B$4-1)*IF(A12=Parametres!$B$51,Parametres!$B$59,1),0)</f>
        <v>251</v>
      </c>
      <c r="D12" s="21" t="n">
        <f aca="false">ROUND(Parametres!$B$54*A12^Parametres!$B$55*(1+Parametres!$B$58)^($B$4-1)*IF(A12=Parametres!$B$51,Parametres!$B$60,1),0)</f>
        <v>42</v>
      </c>
      <c r="E12" s="21" t="n">
        <f aca="false">ROUND(Parametres!$B$56*A12^Parametres!$B$57*(1+Parametres!$B$58)^($B$4-1),0)</f>
        <v>18</v>
      </c>
      <c r="F12" s="21" t="n">
        <f aca="false">ROUND(Parametres!$B$63*A12*(1+Parametres!$B$64*($B$4-1)),0)</f>
        <v>60</v>
      </c>
      <c r="G12" s="21" t="n">
        <f aca="false">Parametres!$B$65+IF(A12=Parametres!$B$51,Parametres!$B$66,0)</f>
        <v>1</v>
      </c>
      <c r="H12" s="22" t="n">
        <f aca="false">H11+F12</f>
        <v>210</v>
      </c>
      <c r="I12" s="22" t="n">
        <f aca="false">I11+G12</f>
        <v>6</v>
      </c>
    </row>
    <row r="13" customFormat="false" ht="15" hidden="false" customHeight="true" outlineLevel="0" collapsed="false">
      <c r="A13" s="20" t="n">
        <v>7</v>
      </c>
      <c r="B13" s="58" t="str">
        <f aca="false">IF(A13=Parametres!$B$51,"BOSS","Monstre")</f>
        <v>Monstre</v>
      </c>
      <c r="C13" s="21" t="n">
        <f aca="false">ROUND(Parametres!$B$52*A13^Parametres!$B$53*(1+Parametres!$B$58)^($B$4-1)*IF(A13=Parametres!$B$51,Parametres!$B$59,1),0)</f>
        <v>288</v>
      </c>
      <c r="D13" s="21" t="n">
        <f aca="false">ROUND(Parametres!$B$54*A13^Parametres!$B$55*(1+Parametres!$B$58)^($B$4-1)*IF(A13=Parametres!$B$51,Parametres!$B$60,1),0)</f>
        <v>47</v>
      </c>
      <c r="E13" s="21" t="n">
        <f aca="false">ROUND(Parametres!$B$56*A13^Parametres!$B$57*(1+Parametres!$B$58)^($B$4-1),0)</f>
        <v>21</v>
      </c>
      <c r="F13" s="21" t="n">
        <f aca="false">ROUND(Parametres!$B$63*A13*(1+Parametres!$B$64*($B$4-1)),0)</f>
        <v>70</v>
      </c>
      <c r="G13" s="21" t="n">
        <f aca="false">Parametres!$B$65+IF(A13=Parametres!$B$51,Parametres!$B$66,0)</f>
        <v>1</v>
      </c>
      <c r="H13" s="22" t="n">
        <f aca="false">H12+F13</f>
        <v>280</v>
      </c>
      <c r="I13" s="22" t="n">
        <f aca="false">I12+G13</f>
        <v>7</v>
      </c>
    </row>
    <row r="14" customFormat="false" ht="15" hidden="false" customHeight="true" outlineLevel="0" collapsed="false">
      <c r="A14" s="20" t="n">
        <v>8</v>
      </c>
      <c r="B14" s="58" t="str">
        <f aca="false">IF(A14=Parametres!$B$51,"BOSS","Monstre")</f>
        <v>Monstre</v>
      </c>
      <c r="C14" s="21" t="n">
        <f aca="false">ROUND(Parametres!$B$52*A14^Parametres!$B$53*(1+Parametres!$B$58)^($B$4-1)*IF(A14=Parametres!$B$51,Parametres!$B$59,1),0)</f>
        <v>325</v>
      </c>
      <c r="D14" s="21" t="n">
        <f aca="false">ROUND(Parametres!$B$54*A14^Parametres!$B$55*(1+Parametres!$B$58)^($B$4-1)*IF(A14=Parametres!$B$51,Parametres!$B$60,1),0)</f>
        <v>53</v>
      </c>
      <c r="E14" s="21" t="n">
        <f aca="false">ROUND(Parametres!$B$56*A14^Parametres!$B$57*(1+Parametres!$B$58)^($B$4-1),0)</f>
        <v>23</v>
      </c>
      <c r="F14" s="21" t="n">
        <f aca="false">ROUND(Parametres!$B$63*A14*(1+Parametres!$B$64*($B$4-1)),0)</f>
        <v>80</v>
      </c>
      <c r="G14" s="21" t="n">
        <f aca="false">Parametres!$B$65+IF(A14=Parametres!$B$51,Parametres!$B$66,0)</f>
        <v>1</v>
      </c>
      <c r="H14" s="22" t="n">
        <f aca="false">H13+F14</f>
        <v>360</v>
      </c>
      <c r="I14" s="22" t="n">
        <f aca="false">I13+G14</f>
        <v>8</v>
      </c>
    </row>
    <row r="15" customFormat="false" ht="15" hidden="false" customHeight="true" outlineLevel="0" collapsed="false">
      <c r="A15" s="20" t="n">
        <v>9</v>
      </c>
      <c r="B15" s="58" t="str">
        <f aca="false">IF(A15=Parametres!$B$51,"BOSS","Monstre")</f>
        <v>Monstre</v>
      </c>
      <c r="C15" s="21" t="n">
        <f aca="false">ROUND(Parametres!$B$52*A15^Parametres!$B$53*(1+Parametres!$B$58)^($B$4-1)*IF(A15=Parametres!$B$51,Parametres!$B$59,1),0)</f>
        <v>361</v>
      </c>
      <c r="D15" s="21" t="n">
        <f aca="false">ROUND(Parametres!$B$54*A15^Parametres!$B$55*(1+Parametres!$B$58)^($B$4-1)*IF(A15=Parametres!$B$51,Parametres!$B$60,1),0)</f>
        <v>58</v>
      </c>
      <c r="E15" s="21" t="n">
        <f aca="false">ROUND(Parametres!$B$56*A15^Parametres!$B$57*(1+Parametres!$B$58)^($B$4-1),0)</f>
        <v>26</v>
      </c>
      <c r="F15" s="21" t="n">
        <f aca="false">ROUND(Parametres!$B$63*A15*(1+Parametres!$B$64*($B$4-1)),0)</f>
        <v>90</v>
      </c>
      <c r="G15" s="21" t="n">
        <f aca="false">Parametres!$B$65+IF(A15=Parametres!$B$51,Parametres!$B$66,0)</f>
        <v>1</v>
      </c>
      <c r="H15" s="22" t="n">
        <f aca="false">H14+F15</f>
        <v>450</v>
      </c>
      <c r="I15" s="22" t="n">
        <f aca="false">I14+G15</f>
        <v>9</v>
      </c>
    </row>
    <row r="16" customFormat="false" ht="15" hidden="false" customHeight="true" outlineLevel="0" collapsed="false">
      <c r="A16" s="60" t="n">
        <v>10</v>
      </c>
      <c r="B16" s="61" t="str">
        <f aca="false">IF(A16=Parametres!$B$51,"BOSS","Monstre")</f>
        <v>BOSS</v>
      </c>
      <c r="C16" s="62" t="n">
        <f aca="false">ROUND(Parametres!$B$52*A16^Parametres!$B$53*(1+Parametres!$B$58)^($B$4-1)*IF(A16=Parametres!$B$51,Parametres!$B$59,1),0)</f>
        <v>874</v>
      </c>
      <c r="D16" s="62" t="n">
        <f aca="false">ROUND(Parametres!$B$54*A16^Parametres!$B$55*(1+Parametres!$B$58)^($B$4-1)*IF(A16=Parametres!$B$51,Parametres!$B$60,1),0)</f>
        <v>95</v>
      </c>
      <c r="E16" s="62" t="n">
        <f aca="false">ROUND(Parametres!$B$56*A16^Parametres!$B$57*(1+Parametres!$B$58)^($B$4-1),0)</f>
        <v>28</v>
      </c>
      <c r="F16" s="62" t="n">
        <f aca="false">ROUND(Parametres!$B$63*A16*(1+Parametres!$B$64*($B$4-1)),0)</f>
        <v>100</v>
      </c>
      <c r="G16" s="62" t="n">
        <f aca="false">Parametres!$B$65+IF(A16=Parametres!$B$51,Parametres!$B$66,0)</f>
        <v>6</v>
      </c>
      <c r="H16" s="63" t="n">
        <f aca="false">H15+F16</f>
        <v>550</v>
      </c>
      <c r="I16" s="63" t="n">
        <f aca="false">I15+G16</f>
        <v>15</v>
      </c>
    </row>
    <row r="19" customFormat="false" ht="15" hidden="false" customHeight="true" outlineLevel="0" collapsed="false">
      <c r="A19" s="6" t="s">
        <v>414</v>
      </c>
    </row>
    <row r="20" customFormat="false" ht="21.75" hidden="false" customHeight="true" outlineLevel="0" collapsed="false">
      <c r="A20" s="19" t="s">
        <v>415</v>
      </c>
      <c r="B20" s="19" t="s">
        <v>416</v>
      </c>
      <c r="C20" s="19" t="s">
        <v>417</v>
      </c>
      <c r="D20" s="19" t="s">
        <v>418</v>
      </c>
      <c r="E20" s="19" t="s">
        <v>419</v>
      </c>
      <c r="F20" s="19" t="s">
        <v>420</v>
      </c>
      <c r="G20" s="19" t="s">
        <v>421</v>
      </c>
    </row>
    <row r="21" customFormat="false" ht="15" hidden="false" customHeight="true" outlineLevel="0" collapsed="false">
      <c r="A21" s="20" t="n">
        <v>1</v>
      </c>
      <c r="B21" s="21" t="n">
        <f aca="false">ROUND(Parametres!$B$52*Parametres!$B$51^Parametres!$B$53*(1+Parametres!$B$58)^(A21-1)*Parametres!$B$59,0)</f>
        <v>874</v>
      </c>
      <c r="C21" s="21" t="n">
        <f aca="false">ROUND(Parametres!$B$54*Parametres!$B$51^Parametres!$B$55*(1+Parametres!$B$58)^(A21-1)*Parametres!$B$60,0)</f>
        <v>95</v>
      </c>
      <c r="D21" s="21" t="n">
        <f aca="false">ROUND(Parametres!$B$63*55*(1+Parametres!$B$64*(A21-1)),0)</f>
        <v>550</v>
      </c>
      <c r="E21" s="21" t="n">
        <f aca="false">Parametres!$B$65*Parametres!$B$51+Parametres!$B$66</f>
        <v>15</v>
      </c>
      <c r="F21" s="64" t="n">
        <f aca="false">(1+Parametres!$B$58)^(A21-1)</f>
        <v>1</v>
      </c>
      <c r="G21" s="34" t="s">
        <v>422</v>
      </c>
    </row>
    <row r="22" customFormat="false" ht="15" hidden="false" customHeight="true" outlineLevel="0" collapsed="false">
      <c r="A22" s="27" t="n">
        <v>2</v>
      </c>
      <c r="B22" s="28" t="n">
        <f aca="false">ROUND(Parametres!$B$52*Parametres!$B$51^Parametres!$B$53*(1+Parametres!$B$58)^(A22-1)*Parametres!$B$59,0)</f>
        <v>1049</v>
      </c>
      <c r="C22" s="28" t="n">
        <f aca="false">ROUND(Parametres!$B$54*Parametres!$B$51^Parametres!$B$55*(1+Parametres!$B$58)^(A22-1)*Parametres!$B$60,0)</f>
        <v>114</v>
      </c>
      <c r="D22" s="28" t="n">
        <f aca="false">ROUND(Parametres!$B$63*55*(1+Parametres!$B$64*(A22-1)),0)</f>
        <v>605</v>
      </c>
      <c r="E22" s="28" t="n">
        <f aca="false">Parametres!$B$65*Parametres!$B$51+Parametres!$B$66</f>
        <v>15</v>
      </c>
      <c r="F22" s="65" t="n">
        <f aca="false">(1+Parametres!$B$58)^(A22-1)</f>
        <v>1.2</v>
      </c>
      <c r="G22" s="33"/>
    </row>
    <row r="23" customFormat="false" ht="15" hidden="false" customHeight="true" outlineLevel="0" collapsed="false">
      <c r="A23" s="20" t="n">
        <v>3</v>
      </c>
      <c r="B23" s="21" t="n">
        <f aca="false">ROUND(Parametres!$B$52*Parametres!$B$51^Parametres!$B$53*(1+Parametres!$B$58)^(A23-1)*Parametres!$B$59,0)</f>
        <v>1258</v>
      </c>
      <c r="C23" s="21" t="n">
        <f aca="false">ROUND(Parametres!$B$54*Parametres!$B$51^Parametres!$B$55*(1+Parametres!$B$58)^(A23-1)*Parametres!$B$60,0)</f>
        <v>136</v>
      </c>
      <c r="D23" s="21" t="n">
        <f aca="false">ROUND(Parametres!$B$63*55*(1+Parametres!$B$64*(A23-1)),0)</f>
        <v>660</v>
      </c>
      <c r="E23" s="21" t="n">
        <f aca="false">Parametres!$B$65*Parametres!$B$51+Parametres!$B$66</f>
        <v>15</v>
      </c>
      <c r="F23" s="64" t="n">
        <f aca="false">(1+Parametres!$B$58)^(A23-1)</f>
        <v>1.44</v>
      </c>
      <c r="G23" s="34" t="s">
        <v>423</v>
      </c>
    </row>
    <row r="24" customFormat="false" ht="15" hidden="false" customHeight="true" outlineLevel="0" collapsed="false">
      <c r="A24" s="27" t="n">
        <v>4</v>
      </c>
      <c r="B24" s="28" t="n">
        <f aca="false">ROUND(Parametres!$B$52*Parametres!$B$51^Parametres!$B$53*(1+Parametres!$B$58)^(A24-1)*Parametres!$B$59,0)</f>
        <v>1510</v>
      </c>
      <c r="C24" s="28" t="n">
        <f aca="false">ROUND(Parametres!$B$54*Parametres!$B$51^Parametres!$B$55*(1+Parametres!$B$58)^(A24-1)*Parametres!$B$60,0)</f>
        <v>164</v>
      </c>
      <c r="D24" s="28" t="n">
        <f aca="false">ROUND(Parametres!$B$63*55*(1+Parametres!$B$64*(A24-1)),0)</f>
        <v>715</v>
      </c>
      <c r="E24" s="28" t="n">
        <f aca="false">Parametres!$B$65*Parametres!$B$51+Parametres!$B$66</f>
        <v>15</v>
      </c>
      <c r="F24" s="65" t="n">
        <f aca="false">(1+Parametres!$B$58)^(A24-1)</f>
        <v>1.728</v>
      </c>
      <c r="G24" s="33"/>
    </row>
    <row r="25" customFormat="false" ht="15" hidden="false" customHeight="true" outlineLevel="0" collapsed="false">
      <c r="A25" s="20" t="n">
        <v>5</v>
      </c>
      <c r="B25" s="21" t="n">
        <f aca="false">ROUND(Parametres!$B$52*Parametres!$B$51^Parametres!$B$53*(1+Parametres!$B$58)^(A25-1)*Parametres!$B$59,0)</f>
        <v>1812</v>
      </c>
      <c r="C25" s="21" t="n">
        <f aca="false">ROUND(Parametres!$B$54*Parametres!$B$51^Parametres!$B$55*(1+Parametres!$B$58)^(A25-1)*Parametres!$B$60,0)</f>
        <v>196</v>
      </c>
      <c r="D25" s="21" t="n">
        <f aca="false">ROUND(Parametres!$B$63*55*(1+Parametres!$B$64*(A25-1)),0)</f>
        <v>770</v>
      </c>
      <c r="E25" s="21" t="n">
        <f aca="false">Parametres!$B$65*Parametres!$B$51+Parametres!$B$66</f>
        <v>15</v>
      </c>
      <c r="F25" s="64" t="n">
        <f aca="false">(1+Parametres!$B$58)^(A25-1)</f>
        <v>2.0736</v>
      </c>
      <c r="G25" s="34" t="s">
        <v>424</v>
      </c>
    </row>
    <row r="26" customFormat="false" ht="15" hidden="false" customHeight="true" outlineLevel="0" collapsed="false">
      <c r="A26" s="27" t="n">
        <v>6</v>
      </c>
      <c r="B26" s="28" t="n">
        <f aca="false">ROUND(Parametres!$B$52*Parametres!$B$51^Parametres!$B$53*(1+Parametres!$B$58)^(A26-1)*Parametres!$B$59,0)</f>
        <v>2174</v>
      </c>
      <c r="C26" s="28" t="n">
        <f aca="false">ROUND(Parametres!$B$54*Parametres!$B$51^Parametres!$B$55*(1+Parametres!$B$58)^(A26-1)*Parametres!$B$60,0)</f>
        <v>236</v>
      </c>
      <c r="D26" s="28" t="n">
        <f aca="false">ROUND(Parametres!$B$63*55*(1+Parametres!$B$64*(A26-1)),0)</f>
        <v>825</v>
      </c>
      <c r="E26" s="28" t="n">
        <f aca="false">Parametres!$B$65*Parametres!$B$51+Parametres!$B$66</f>
        <v>15</v>
      </c>
      <c r="F26" s="65" t="n">
        <f aca="false">(1+Parametres!$B$58)^(A26-1)</f>
        <v>2.48832</v>
      </c>
      <c r="G26" s="33"/>
    </row>
    <row r="27" customFormat="false" ht="15" hidden="false" customHeight="true" outlineLevel="0" collapsed="false">
      <c r="A27" s="20" t="n">
        <v>7</v>
      </c>
      <c r="B27" s="21" t="n">
        <f aca="false">ROUND(Parametres!$B$52*Parametres!$B$51^Parametres!$B$53*(1+Parametres!$B$58)^(A27-1)*Parametres!$B$59,0)</f>
        <v>2609</v>
      </c>
      <c r="C27" s="21" t="n">
        <f aca="false">ROUND(Parametres!$B$54*Parametres!$B$51^Parametres!$B$55*(1+Parametres!$B$58)^(A27-1)*Parametres!$B$60,0)</f>
        <v>283</v>
      </c>
      <c r="D27" s="21" t="n">
        <f aca="false">ROUND(Parametres!$B$63*55*(1+Parametres!$B$64*(A27-1)),0)</f>
        <v>880</v>
      </c>
      <c r="E27" s="21" t="n">
        <f aca="false">Parametres!$B$65*Parametres!$B$51+Parametres!$B$66</f>
        <v>15</v>
      </c>
      <c r="F27" s="64" t="n">
        <f aca="false">(1+Parametres!$B$58)^(A27-1)</f>
        <v>2.985984</v>
      </c>
      <c r="G27" s="34"/>
    </row>
    <row r="28" customFormat="false" ht="15" hidden="false" customHeight="true" outlineLevel="0" collapsed="false">
      <c r="A28" s="27" t="n">
        <v>8</v>
      </c>
      <c r="B28" s="28" t="n">
        <f aca="false">ROUND(Parametres!$B$52*Parametres!$B$51^Parametres!$B$53*(1+Parametres!$B$58)^(A28-1)*Parametres!$B$59,0)</f>
        <v>3131</v>
      </c>
      <c r="C28" s="28" t="n">
        <f aca="false">ROUND(Parametres!$B$54*Parametres!$B$51^Parametres!$B$55*(1+Parametres!$B$58)^(A28-1)*Parametres!$B$60,0)</f>
        <v>339</v>
      </c>
      <c r="D28" s="28" t="n">
        <f aca="false">ROUND(Parametres!$B$63*55*(1+Parametres!$B$64*(A28-1)),0)</f>
        <v>935</v>
      </c>
      <c r="E28" s="28" t="n">
        <f aca="false">Parametres!$B$65*Parametres!$B$51+Parametres!$B$66</f>
        <v>15</v>
      </c>
      <c r="F28" s="65" t="n">
        <f aca="false">(1+Parametres!$B$58)^(A28-1)</f>
        <v>3.5831808</v>
      </c>
      <c r="G28" s="33" t="s">
        <v>425</v>
      </c>
    </row>
    <row r="29" customFormat="false" ht="15" hidden="false" customHeight="true" outlineLevel="0" collapsed="false">
      <c r="A29" s="20" t="n">
        <v>9</v>
      </c>
      <c r="B29" s="21" t="n">
        <f aca="false">ROUND(Parametres!$B$52*Parametres!$B$51^Parametres!$B$53*(1+Parametres!$B$58)^(A29-1)*Parametres!$B$59,0)</f>
        <v>3757</v>
      </c>
      <c r="C29" s="21" t="n">
        <f aca="false">ROUND(Parametres!$B$54*Parametres!$B$51^Parametres!$B$55*(1+Parametres!$B$58)^(A29-1)*Parametres!$B$60,0)</f>
        <v>407</v>
      </c>
      <c r="D29" s="21" t="n">
        <f aca="false">ROUND(Parametres!$B$63*55*(1+Parametres!$B$64*(A29-1)),0)</f>
        <v>990</v>
      </c>
      <c r="E29" s="21" t="n">
        <f aca="false">Parametres!$B$65*Parametres!$B$51+Parametres!$B$66</f>
        <v>15</v>
      </c>
      <c r="F29" s="64" t="n">
        <f aca="false">(1+Parametres!$B$58)^(A29-1)</f>
        <v>4.29981696</v>
      </c>
      <c r="G29" s="34"/>
    </row>
    <row r="30" customFormat="false" ht="15" hidden="false" customHeight="true" outlineLevel="0" collapsed="false">
      <c r="A30" s="27" t="n">
        <v>10</v>
      </c>
      <c r="B30" s="28" t="n">
        <f aca="false">ROUND(Parametres!$B$52*Parametres!$B$51^Parametres!$B$53*(1+Parametres!$B$58)^(A30-1)*Parametres!$B$59,0)</f>
        <v>4508</v>
      </c>
      <c r="C30" s="28" t="n">
        <f aca="false">ROUND(Parametres!$B$54*Parametres!$B$51^Parametres!$B$55*(1+Parametres!$B$58)^(A30-1)*Parametres!$B$60,0)</f>
        <v>488</v>
      </c>
      <c r="D30" s="28" t="n">
        <f aca="false">ROUND(Parametres!$B$63*55*(1+Parametres!$B$64*(A30-1)),0)</f>
        <v>1045</v>
      </c>
      <c r="E30" s="28" t="n">
        <f aca="false">Parametres!$B$65*Parametres!$B$51+Parametres!$B$66</f>
        <v>15</v>
      </c>
      <c r="F30" s="65" t="n">
        <f aca="false">(1+Parametres!$B$58)^(A30-1)</f>
        <v>5.159780352</v>
      </c>
      <c r="G30" s="33"/>
    </row>
    <row r="31" customFormat="false" ht="15" hidden="false" customHeight="true" outlineLevel="0" collapsed="false">
      <c r="A31" s="20" t="n">
        <v>11</v>
      </c>
      <c r="B31" s="21" t="n">
        <f aca="false">ROUND(Parametres!$B$52*Parametres!$B$51^Parametres!$B$53*(1+Parametres!$B$58)^(A31-1)*Parametres!$B$59,0)</f>
        <v>5410</v>
      </c>
      <c r="C31" s="21" t="n">
        <f aca="false">ROUND(Parametres!$B$54*Parametres!$B$51^Parametres!$B$55*(1+Parametres!$B$58)^(A31-1)*Parametres!$B$60,0)</f>
        <v>586</v>
      </c>
      <c r="D31" s="21" t="n">
        <f aca="false">ROUND(Parametres!$B$63*55*(1+Parametres!$B$64*(A31-1)),0)</f>
        <v>1100</v>
      </c>
      <c r="E31" s="21" t="n">
        <f aca="false">Parametres!$B$65*Parametres!$B$51+Parametres!$B$66</f>
        <v>15</v>
      </c>
      <c r="F31" s="64" t="n">
        <f aca="false">(1+Parametres!$B$58)^(A31-1)</f>
        <v>6.1917364224</v>
      </c>
      <c r="G31" s="34"/>
    </row>
    <row r="32" customFormat="false" ht="15" hidden="false" customHeight="true" outlineLevel="0" collapsed="false">
      <c r="A32" s="27" t="n">
        <v>12</v>
      </c>
      <c r="B32" s="28" t="n">
        <f aca="false">ROUND(Parametres!$B$52*Parametres!$B$51^Parametres!$B$53*(1+Parametres!$B$58)^(A32-1)*Parametres!$B$59,0)</f>
        <v>6492</v>
      </c>
      <c r="C32" s="28" t="n">
        <f aca="false">ROUND(Parametres!$B$54*Parametres!$B$51^Parametres!$B$55*(1+Parametres!$B$58)^(A32-1)*Parametres!$B$60,0)</f>
        <v>703</v>
      </c>
      <c r="D32" s="28" t="n">
        <f aca="false">ROUND(Parametres!$B$63*55*(1+Parametres!$B$64*(A32-1)),0)</f>
        <v>1155</v>
      </c>
      <c r="E32" s="28" t="n">
        <f aca="false">Parametres!$B$65*Parametres!$B$51+Parametres!$B$66</f>
        <v>15</v>
      </c>
      <c r="F32" s="65" t="n">
        <f aca="false">(1+Parametres!$B$58)^(A32-1)</f>
        <v>7.43008370688</v>
      </c>
      <c r="G32" s="33" t="s">
        <v>426</v>
      </c>
    </row>
    <row r="33" customFormat="false" ht="15" hidden="false" customHeight="true" outlineLevel="0" collapsed="false">
      <c r="A33" s="20" t="n">
        <v>13</v>
      </c>
      <c r="B33" s="21" t="n">
        <f aca="false">ROUND(Parametres!$B$52*Parametres!$B$51^Parametres!$B$53*(1+Parametres!$B$58)^(A33-1)*Parametres!$B$59,0)</f>
        <v>7791</v>
      </c>
      <c r="C33" s="21" t="n">
        <f aca="false">ROUND(Parametres!$B$54*Parametres!$B$51^Parametres!$B$55*(1+Parametres!$B$58)^(A33-1)*Parametres!$B$60,0)</f>
        <v>844</v>
      </c>
      <c r="D33" s="21" t="n">
        <f aca="false">ROUND(Parametres!$B$63*55*(1+Parametres!$B$64*(A33-1)),0)</f>
        <v>1210</v>
      </c>
      <c r="E33" s="21" t="n">
        <f aca="false">Parametres!$B$65*Parametres!$B$51+Parametres!$B$66</f>
        <v>15</v>
      </c>
      <c r="F33" s="64" t="n">
        <f aca="false">(1+Parametres!$B$58)^(A33-1)</f>
        <v>8.916100448256</v>
      </c>
      <c r="G33" s="34"/>
    </row>
    <row r="34" customFormat="false" ht="15" hidden="false" customHeight="true" outlineLevel="0" collapsed="false">
      <c r="A34" s="27" t="n">
        <v>14</v>
      </c>
      <c r="B34" s="28" t="n">
        <f aca="false">ROUND(Parametres!$B$52*Parametres!$B$51^Parametres!$B$53*(1+Parametres!$B$58)^(A34-1)*Parametres!$B$59,0)</f>
        <v>9349</v>
      </c>
      <c r="C34" s="28" t="n">
        <f aca="false">ROUND(Parametres!$B$54*Parametres!$B$51^Parametres!$B$55*(1+Parametres!$B$58)^(A34-1)*Parametres!$B$60,0)</f>
        <v>1013</v>
      </c>
      <c r="D34" s="28" t="n">
        <f aca="false">ROUND(Parametres!$B$63*55*(1+Parametres!$B$64*(A34-1)),0)</f>
        <v>1265</v>
      </c>
      <c r="E34" s="28" t="n">
        <f aca="false">Parametres!$B$65*Parametres!$B$51+Parametres!$B$66</f>
        <v>15</v>
      </c>
      <c r="F34" s="65" t="n">
        <f aca="false">(1+Parametres!$B$58)^(A34-1)</f>
        <v>10.6993205379072</v>
      </c>
      <c r="G34" s="33"/>
    </row>
    <row r="35" customFormat="false" ht="15" hidden="false" customHeight="true" outlineLevel="0" collapsed="false">
      <c r="A35" s="20" t="n">
        <v>15</v>
      </c>
      <c r="B35" s="21" t="n">
        <f aca="false">ROUND(Parametres!$B$52*Parametres!$B$51^Parametres!$B$53*(1+Parametres!$B$58)^(A35-1)*Parametres!$B$59,0)</f>
        <v>11218</v>
      </c>
      <c r="C35" s="21" t="n">
        <f aca="false">ROUND(Parametres!$B$54*Parametres!$B$51^Parametres!$B$55*(1+Parametres!$B$58)^(A35-1)*Parametres!$B$60,0)</f>
        <v>1215</v>
      </c>
      <c r="D35" s="21" t="n">
        <f aca="false">ROUND(Parametres!$B$63*55*(1+Parametres!$B$64*(A35-1)),0)</f>
        <v>1320</v>
      </c>
      <c r="E35" s="21" t="n">
        <f aca="false">Parametres!$B$65*Parametres!$B$51+Parametres!$B$66</f>
        <v>15</v>
      </c>
      <c r="F35" s="64" t="n">
        <f aca="false">(1+Parametres!$B$58)^(A35-1)</f>
        <v>12.8391846454886</v>
      </c>
      <c r="G35" s="34" t="s">
        <v>427</v>
      </c>
    </row>
    <row r="37" customFormat="false" ht="15" hidden="false" customHeight="true" outlineLevel="0" collapsed="false">
      <c r="A37" s="34" t="s">
        <v>428</v>
      </c>
    </row>
    <row r="39" customFormat="false" ht="15" hidden="false" customHeight="true" outlineLevel="0" collapsed="false">
      <c r="A39" s="6" t="s">
        <v>429</v>
      </c>
    </row>
    <row r="40" customFormat="false" ht="15" hidden="false" customHeight="true" outlineLevel="0" collapsed="false">
      <c r="A40" s="8" t="s">
        <v>430</v>
      </c>
    </row>
    <row r="41" customFormat="false" ht="42.75" hidden="false" customHeight="true" outlineLevel="0" collapsed="false">
      <c r="A41" s="19" t="s">
        <v>415</v>
      </c>
      <c r="B41" s="19" t="s">
        <v>431</v>
      </c>
      <c r="C41" s="19" t="s">
        <v>432</v>
      </c>
      <c r="D41" s="19" t="s">
        <v>433</v>
      </c>
      <c r="E41" s="19" t="s">
        <v>434</v>
      </c>
    </row>
    <row r="42" customFormat="false" ht="15" hidden="false" customHeight="true" outlineLevel="0" collapsed="false">
      <c r="A42" s="20" t="n">
        <v>1</v>
      </c>
      <c r="B42" s="66" t="n">
        <v>6</v>
      </c>
      <c r="C42" s="24" t="n">
        <f aca="false">INDEX(Progression!$K$5:$K$54,B42)</f>
        <v>1.8</v>
      </c>
      <c r="D42" s="67" t="n">
        <f aca="false">B42</f>
        <v>6</v>
      </c>
      <c r="E42" s="34" t="s">
        <v>435</v>
      </c>
    </row>
    <row r="43" customFormat="false" ht="15" hidden="false" customHeight="true" outlineLevel="0" collapsed="false">
      <c r="A43" s="27" t="n">
        <v>2</v>
      </c>
      <c r="B43" s="68" t="n">
        <v>7</v>
      </c>
      <c r="C43" s="31" t="n">
        <f aca="false">INDEX(Progression!$K$5:$K$54,B43)</f>
        <v>2.8</v>
      </c>
      <c r="D43" s="69" t="n">
        <f aca="false">B43-B42</f>
        <v>1</v>
      </c>
      <c r="E43" s="33" t="s">
        <v>436</v>
      </c>
    </row>
    <row r="44" customFormat="false" ht="15" hidden="false" customHeight="true" outlineLevel="0" collapsed="false">
      <c r="A44" s="20" t="n">
        <v>3</v>
      </c>
      <c r="B44" s="66" t="n">
        <v>8</v>
      </c>
      <c r="C44" s="24" t="n">
        <f aca="false">INDEX(Progression!$K$5:$K$54,B44)</f>
        <v>4</v>
      </c>
      <c r="D44" s="67" t="n">
        <f aca="false">B44-B43</f>
        <v>1</v>
      </c>
      <c r="E44" s="34" t="s">
        <v>437</v>
      </c>
    </row>
    <row r="45" customFormat="false" ht="15" hidden="false" customHeight="true" outlineLevel="0" collapsed="false">
      <c r="A45" s="27" t="n">
        <v>4</v>
      </c>
      <c r="B45" s="68" t="n">
        <v>10</v>
      </c>
      <c r="C45" s="31" t="n">
        <f aca="false">INDEX(Progression!$K$5:$K$54,B45)</f>
        <v>7.3</v>
      </c>
      <c r="D45" s="69" t="n">
        <f aca="false">B45-B44</f>
        <v>2</v>
      </c>
      <c r="E45" s="33" t="s">
        <v>424</v>
      </c>
    </row>
    <row r="46" customFormat="false" ht="15" hidden="false" customHeight="true" outlineLevel="0" collapsed="false">
      <c r="A46" s="20" t="n">
        <v>5</v>
      </c>
      <c r="B46" s="66" t="n">
        <v>11</v>
      </c>
      <c r="C46" s="24" t="n">
        <f aca="false">INDEX(Progression!$K$5:$K$54,B46)</f>
        <v>9.3</v>
      </c>
      <c r="D46" s="67" t="n">
        <f aca="false">B46-B45</f>
        <v>1</v>
      </c>
      <c r="E46" s="34"/>
    </row>
    <row r="47" customFormat="false" ht="15" hidden="false" customHeight="true" outlineLevel="0" collapsed="false">
      <c r="A47" s="27" t="n">
        <v>6</v>
      </c>
      <c r="B47" s="68" t="n">
        <v>13</v>
      </c>
      <c r="C47" s="31" t="n">
        <f aca="false">INDEX(Progression!$K$5:$K$54,B47)</f>
        <v>14.3</v>
      </c>
      <c r="D47" s="69" t="n">
        <f aca="false">B47-B46</f>
        <v>2</v>
      </c>
      <c r="E47" s="33" t="s">
        <v>438</v>
      </c>
    </row>
    <row r="48" customFormat="false" ht="15" hidden="false" customHeight="true" outlineLevel="0" collapsed="false">
      <c r="A48" s="20" t="n">
        <v>7</v>
      </c>
      <c r="B48" s="66" t="n">
        <v>16</v>
      </c>
      <c r="C48" s="24" t="n">
        <f aca="false">INDEX(Progression!$K$5:$K$54,B48)</f>
        <v>24.5</v>
      </c>
      <c r="D48" s="67" t="n">
        <f aca="false">B48-B47</f>
        <v>3</v>
      </c>
      <c r="E48" s="34"/>
    </row>
    <row r="49" customFormat="false" ht="15" hidden="false" customHeight="true" outlineLevel="0" collapsed="false">
      <c r="A49" s="27" t="n">
        <v>8</v>
      </c>
      <c r="B49" s="68" t="n">
        <v>18</v>
      </c>
      <c r="C49" s="31" t="n">
        <f aca="false">INDEX(Progression!$K$5:$K$54,B49)</f>
        <v>33.3</v>
      </c>
      <c r="D49" s="69" t="n">
        <f aca="false">B49-B48</f>
        <v>2</v>
      </c>
      <c r="E49" s="33" t="s">
        <v>439</v>
      </c>
    </row>
    <row r="50" customFormat="false" ht="15" hidden="false" customHeight="true" outlineLevel="0" collapsed="false">
      <c r="A50" s="20" t="n">
        <v>9</v>
      </c>
      <c r="B50" s="66" t="n">
        <v>21</v>
      </c>
      <c r="C50" s="24" t="n">
        <f aca="false">INDEX(Progression!$K$5:$K$54,B50)</f>
        <v>49.3</v>
      </c>
      <c r="D50" s="67" t="n">
        <f aca="false">B50-B49</f>
        <v>3</v>
      </c>
      <c r="E50" s="34"/>
    </row>
    <row r="51" customFormat="false" ht="15" hidden="false" customHeight="true" outlineLevel="0" collapsed="false">
      <c r="A51" s="27" t="n">
        <v>10</v>
      </c>
      <c r="B51" s="68" t="n">
        <v>26</v>
      </c>
      <c r="C51" s="31" t="n">
        <f aca="false">INDEX(Progression!$K$5:$K$54,B51)</f>
        <v>85</v>
      </c>
      <c r="D51" s="69" t="n">
        <f aca="false">B51-B50</f>
        <v>5</v>
      </c>
      <c r="E51" s="33" t="s">
        <v>440</v>
      </c>
    </row>
    <row r="52" customFormat="false" ht="15" hidden="false" customHeight="true" outlineLevel="0" collapsed="false">
      <c r="A52" s="20" t="n">
        <v>11</v>
      </c>
      <c r="B52" s="66" t="n">
        <v>30</v>
      </c>
      <c r="C52" s="24" t="n">
        <f aca="false">INDEX(Progression!$K$5:$K$54,B52)</f>
        <v>120</v>
      </c>
      <c r="D52" s="67" t="n">
        <f aca="false">B52-B51</f>
        <v>4</v>
      </c>
      <c r="E52" s="34"/>
    </row>
    <row r="53" customFormat="false" ht="15" hidden="false" customHeight="true" outlineLevel="0" collapsed="false">
      <c r="A53" s="27" t="n">
        <v>12</v>
      </c>
      <c r="B53" s="68" t="n">
        <v>35</v>
      </c>
      <c r="C53" s="31" t="n">
        <f aca="false">INDEX(Progression!$K$5:$K$54,B53)</f>
        <v>169.5</v>
      </c>
      <c r="D53" s="69" t="n">
        <f aca="false">B53-B52</f>
        <v>5</v>
      </c>
      <c r="E53" s="33" t="s">
        <v>441</v>
      </c>
    </row>
    <row r="55" customFormat="false" ht="15" hidden="false" customHeight="true" outlineLevel="0" collapsed="false">
      <c r="A55" s="34" t="s">
        <v>442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5"/>
    <col collapsed="false" customWidth="true" hidden="false" outlineLevel="0" max="5" min="3" style="1" width="13"/>
    <col collapsed="false" customWidth="true" hidden="false" outlineLevel="0" max="6" min="6" style="1" width="14"/>
    <col collapsed="false" customWidth="true" hidden="false" outlineLevel="0" max="7" min="7" style="1" width="12"/>
    <col collapsed="false" customWidth="true" hidden="false" outlineLevel="0" max="8" min="8" style="1" width="14"/>
    <col collapsed="false" customWidth="true" hidden="false" outlineLevel="0" max="11" min="9" style="1" width="13"/>
  </cols>
  <sheetData>
    <row r="1" customFormat="false" ht="17.25" hidden="false" customHeight="true" outlineLevel="0" collapsed="false">
      <c r="A1" s="2" t="s">
        <v>443</v>
      </c>
    </row>
    <row r="2" customFormat="false" ht="15" hidden="false" customHeight="true" outlineLevel="0" collapsed="false">
      <c r="A2" s="18" t="s">
        <v>444</v>
      </c>
    </row>
    <row r="4" customFormat="false" ht="15" hidden="false" customHeight="true" outlineLevel="0" collapsed="false">
      <c r="A4" s="6" t="s">
        <v>445</v>
      </c>
    </row>
    <row r="5" customFormat="false" ht="15" hidden="false" customHeight="true" outlineLevel="0" collapsed="false">
      <c r="A5" s="4" t="s">
        <v>446</v>
      </c>
      <c r="B5" s="59" t="n">
        <v>11</v>
      </c>
      <c r="D5" s="44" t="s">
        <v>447</v>
      </c>
      <c r="E5" s="59" t="n">
        <v>8</v>
      </c>
    </row>
    <row r="6" customFormat="false" ht="15" hidden="false" customHeight="true" outlineLevel="0" collapsed="false">
      <c r="A6" s="4" t="s">
        <v>448</v>
      </c>
      <c r="B6" s="59" t="n">
        <v>5</v>
      </c>
      <c r="D6" s="44" t="s">
        <v>449</v>
      </c>
      <c r="E6" s="9" t="n">
        <v>1.8</v>
      </c>
    </row>
    <row r="7" customFormat="false" ht="15" hidden="false" customHeight="true" outlineLevel="0" collapsed="false">
      <c r="A7" s="4" t="s">
        <v>450</v>
      </c>
      <c r="B7" s="70" t="n">
        <f aca="false">ROUND((Parametres!$B$86+Parametres!$B$87*$E$5)*$E$6*(1+Parametres!$B$58)^($B$6-1),0)</f>
        <v>142</v>
      </c>
      <c r="D7" s="44" t="s">
        <v>451</v>
      </c>
      <c r="E7" s="9" t="n">
        <v>4.8</v>
      </c>
    </row>
    <row r="8" customFormat="false" ht="15" hidden="false" customHeight="true" outlineLevel="0" collapsed="false">
      <c r="A8" s="4" t="s">
        <v>452</v>
      </c>
      <c r="B8" s="70" t="n">
        <f aca="false">ROUND((Parametres!$B$86+Parametres!$B$87*$E$5)*$E$6*(1+Parametres!$B$58)^($B$6-1)*$E$7,0)</f>
        <v>681</v>
      </c>
      <c r="D8" s="44" t="s">
        <v>453</v>
      </c>
      <c r="E8" s="9" t="n">
        <v>0.5</v>
      </c>
    </row>
    <row r="9" customFormat="false" ht="15" hidden="false" customHeight="true" outlineLevel="0" collapsed="false">
      <c r="A9" s="4" t="s">
        <v>454</v>
      </c>
      <c r="B9" s="70" t="n">
        <f aca="false">ROUND((Parametres!$B$86+Parametres!$B$87*$E$5)*$E$6*(1+Parametres!$B$58)^($B$6-1)*$E$8,0)</f>
        <v>71</v>
      </c>
      <c r="D9" s="8" t="s">
        <v>455</v>
      </c>
    </row>
    <row r="10" customFormat="false" ht="15" hidden="false" customHeight="true" outlineLevel="0" collapsed="false">
      <c r="A10" s="4" t="s">
        <v>456</v>
      </c>
      <c r="B10" s="11" t="n">
        <v>0.05</v>
      </c>
      <c r="D10" s="8" t="s">
        <v>457</v>
      </c>
    </row>
    <row r="12" customFormat="false" ht="15" hidden="false" customHeight="true" outlineLevel="0" collapsed="false">
      <c r="A12" s="6" t="s">
        <v>458</v>
      </c>
    </row>
    <row r="13" customFormat="false" ht="15" hidden="false" customHeight="true" outlineLevel="0" collapsed="false">
      <c r="A13" s="4" t="s">
        <v>459</v>
      </c>
      <c r="B13" s="70" t="n">
        <f aca="false">INDEX(Progression!$D$5:$D$54,MATCH($B$5,Progression!$A$5:$A$54,0))+$B$8</f>
        <v>1131</v>
      </c>
    </row>
    <row r="14" customFormat="false" ht="15" hidden="false" customHeight="true" outlineLevel="0" collapsed="false">
      <c r="A14" s="4" t="s">
        <v>460</v>
      </c>
      <c r="B14" s="70" t="n">
        <f aca="false">INDEX(Progression!$E$5:$E$54,MATCH($B$5,Progression!$A$5:$A$54,0))+$B$7</f>
        <v>212</v>
      </c>
    </row>
    <row r="15" customFormat="false" ht="15" hidden="false" customHeight="true" outlineLevel="0" collapsed="false">
      <c r="A15" s="4" t="s">
        <v>461</v>
      </c>
      <c r="B15" s="70" t="n">
        <f aca="false">INDEX(Progression!$F$5:$F$54,MATCH($B$5,Progression!$A$5:$A$54,0))+$B$9</f>
        <v>101</v>
      </c>
    </row>
    <row r="16" customFormat="false" ht="15" hidden="false" customHeight="true" outlineLevel="0" collapsed="false">
      <c r="A16" s="4" t="s">
        <v>462</v>
      </c>
      <c r="B16" s="71" t="n">
        <f aca="false">INDEX(Progression!$G$5:$G$54,MATCH($B$5,Progression!$A$5:$A$54,0))+$B$10</f>
        <v>0.153225806451613</v>
      </c>
    </row>
    <row r="17" customFormat="false" ht="15" hidden="false" customHeight="true" outlineLevel="0" collapsed="false">
      <c r="A17" s="4" t="s">
        <v>463</v>
      </c>
      <c r="B17" s="71" t="n">
        <f aca="false">$B$15/($B$15+Parametres!$B$25)</f>
        <v>0.558011049723757</v>
      </c>
    </row>
    <row r="19" customFormat="false" ht="15" hidden="false" customHeight="true" outlineLevel="0" collapsed="false">
      <c r="A19" s="6" t="s">
        <v>464</v>
      </c>
    </row>
    <row r="20" customFormat="false" ht="21.75" hidden="false" customHeight="true" outlineLevel="0" collapsed="false">
      <c r="A20" s="19" t="s">
        <v>405</v>
      </c>
      <c r="B20" s="19" t="s">
        <v>407</v>
      </c>
      <c r="C20" s="19" t="s">
        <v>408</v>
      </c>
      <c r="D20" s="19" t="s">
        <v>409</v>
      </c>
      <c r="E20" s="19" t="s">
        <v>465</v>
      </c>
      <c r="F20" s="19" t="s">
        <v>466</v>
      </c>
      <c r="G20" s="19" t="s">
        <v>467</v>
      </c>
      <c r="H20" s="19" t="s">
        <v>468</v>
      </c>
      <c r="I20" s="19" t="s">
        <v>469</v>
      </c>
      <c r="J20" s="19" t="s">
        <v>470</v>
      </c>
      <c r="K20" s="19" t="s">
        <v>471</v>
      </c>
    </row>
    <row r="21" customFormat="false" ht="15" hidden="false" customHeight="true" outlineLevel="0" collapsed="false">
      <c r="A21" s="20" t="n">
        <v>1</v>
      </c>
      <c r="B21" s="21" t="n">
        <f aca="false">ROUND(Parametres!$B$52*A21^Parametres!$B$53*(1+Parametres!$B$58)^($B$6-1)*IF(A21=Parametres!$B$51,Parametres!$B$59,1),0)</f>
        <v>104</v>
      </c>
      <c r="C21" s="21" t="n">
        <f aca="false">ROUND(Parametres!$B$54*A21^Parametres!$B$55*(1+Parametres!$B$58)^($B$6-1)*IF(A21=Parametres!$B$51,Parametres!$B$60,1),0)</f>
        <v>21</v>
      </c>
      <c r="D21" s="21" t="n">
        <f aca="false">ROUND(Parametres!$B$56*A21^Parametres!$B$57*(1+Parametres!$B$58)^($B$6-1),0)</f>
        <v>8</v>
      </c>
      <c r="E21" s="72" t="n">
        <f aca="false">MAX(1,$B$14*(1-D21/(D21+Parametres!$B$25)))</f>
        <v>192.727272727273</v>
      </c>
      <c r="F21" s="72" t="n">
        <f aca="false">E21*(1+$B$16*(Parametres!$B$24-1))</f>
        <v>214.875366568915</v>
      </c>
      <c r="G21" s="22" t="n">
        <f aca="false">ROUNDUP(B21/F21,0)</f>
        <v>1</v>
      </c>
      <c r="H21" s="72" t="n">
        <f aca="false">MAX(1,C21*(1-$B$15/($B$15+Parametres!$B$25)))</f>
        <v>9.2817679558011</v>
      </c>
      <c r="I21" s="22" t="n">
        <f aca="false">ROUND(H21*MAX(0,G21-1),0)</f>
        <v>0</v>
      </c>
      <c r="J21" s="41" t="n">
        <f aca="false">$B$13-I21</f>
        <v>1131</v>
      </c>
      <c r="K21" s="73" t="str">
        <f aca="false">IF(J21&gt;0,"OK","ECHEC")</f>
        <v>OK</v>
      </c>
    </row>
    <row r="22" customFormat="false" ht="15" hidden="false" customHeight="true" outlineLevel="0" collapsed="false">
      <c r="A22" s="20" t="n">
        <v>2</v>
      </c>
      <c r="B22" s="21" t="n">
        <f aca="false">ROUND(Parametres!$B$52*A22^Parametres!$B$53*(1+Parametres!$B$58)^($B$6-1)*IF(A22=Parametres!$B$51,Parametres!$B$59,1),0)</f>
        <v>193</v>
      </c>
      <c r="C22" s="21" t="n">
        <f aca="false">ROUND(Parametres!$B$54*A22^Parametres!$B$55*(1+Parametres!$B$58)^($B$6-1)*IF(A22=Parametres!$B$51,Parametres!$B$60,1),0)</f>
        <v>36</v>
      </c>
      <c r="D22" s="21" t="n">
        <f aca="false">ROUND(Parametres!$B$56*A22^Parametres!$B$57*(1+Parametres!$B$58)^($B$6-1),0)</f>
        <v>15</v>
      </c>
      <c r="E22" s="72" t="n">
        <f aca="false">MAX(1,$B$14*(1-D22/(D22+Parametres!$B$25)))</f>
        <v>178.526315789474</v>
      </c>
      <c r="F22" s="72" t="n">
        <f aca="false">E22*(1+$B$16*(Parametres!$B$24-1))</f>
        <v>199.042444821732</v>
      </c>
      <c r="G22" s="22" t="n">
        <f aca="false">ROUNDUP(B22/F22,0)</f>
        <v>1</v>
      </c>
      <c r="H22" s="72" t="n">
        <f aca="false">MAX(1,C22*(1-$B$15/($B$15+Parametres!$B$25)))</f>
        <v>15.9116022099448</v>
      </c>
      <c r="I22" s="22" t="n">
        <f aca="false">ROUND(H22*MAX(0,G22-1),0)</f>
        <v>0</v>
      </c>
      <c r="J22" s="41" t="n">
        <f aca="false">MIN($B$13,J21+ROUND($B$13*Parametres!$B$26,0))-I22</f>
        <v>1131</v>
      </c>
      <c r="K22" s="73" t="str">
        <f aca="false">IF(AND(K21="OK",J22&gt;0),"OK","ECHEC")</f>
        <v>OK</v>
      </c>
    </row>
    <row r="23" customFormat="false" ht="15" hidden="false" customHeight="true" outlineLevel="0" collapsed="false">
      <c r="A23" s="20" t="n">
        <v>3</v>
      </c>
      <c r="B23" s="21" t="n">
        <f aca="false">ROUND(Parametres!$B$52*A23^Parametres!$B$53*(1+Parametres!$B$58)^($B$6-1)*IF(A23=Parametres!$B$51,Parametres!$B$59,1),0)</f>
        <v>279</v>
      </c>
      <c r="C23" s="21" t="n">
        <f aca="false">ROUND(Parametres!$B$54*A23^Parametres!$B$55*(1+Parametres!$B$58)^($B$6-1)*IF(A23=Parametres!$B$51,Parametres!$B$60,1),0)</f>
        <v>50</v>
      </c>
      <c r="D23" s="21" t="n">
        <f aca="false">ROUND(Parametres!$B$56*A23^Parametres!$B$57*(1+Parametres!$B$58)^($B$6-1),0)</f>
        <v>21</v>
      </c>
      <c r="E23" s="72" t="n">
        <f aca="false">MAX(1,$B$14*(1-D23/(D23+Parametres!$B$25)))</f>
        <v>167.920792079208</v>
      </c>
      <c r="F23" s="72" t="n">
        <f aca="false">E23*(1+$B$16*(Parametres!$B$24-1))</f>
        <v>187.218141168956</v>
      </c>
      <c r="G23" s="22" t="n">
        <f aca="false">ROUNDUP(B23/F23,0)</f>
        <v>2</v>
      </c>
      <c r="H23" s="72" t="n">
        <f aca="false">MAX(1,C23*(1-$B$15/($B$15+Parametres!$B$25)))</f>
        <v>22.0994475138122</v>
      </c>
      <c r="I23" s="22" t="n">
        <f aca="false">ROUND(H23*MAX(0,G23-1),0)</f>
        <v>22</v>
      </c>
      <c r="J23" s="41" t="n">
        <f aca="false">MIN($B$13,J22+ROUND($B$13*Parametres!$B$26,0))-I23</f>
        <v>1109</v>
      </c>
      <c r="K23" s="73" t="str">
        <f aca="false">IF(AND(K22="OK",J23&gt;0),"OK","ECHEC")</f>
        <v>OK</v>
      </c>
    </row>
    <row r="24" customFormat="false" ht="15" hidden="false" customHeight="true" outlineLevel="0" collapsed="false">
      <c r="A24" s="20" t="n">
        <v>4</v>
      </c>
      <c r="B24" s="21" t="n">
        <f aca="false">ROUND(Parametres!$B$52*A24^Parametres!$B$53*(1+Parametres!$B$58)^($B$6-1)*IF(A24=Parametres!$B$51,Parametres!$B$59,1),0)</f>
        <v>361</v>
      </c>
      <c r="C24" s="21" t="n">
        <f aca="false">ROUND(Parametres!$B$54*A24^Parametres!$B$55*(1+Parametres!$B$58)^($B$6-1)*IF(A24=Parametres!$B$51,Parametres!$B$60,1),0)</f>
        <v>63</v>
      </c>
      <c r="D24" s="21" t="n">
        <f aca="false">ROUND(Parametres!$B$56*A24^Parametres!$B$57*(1+Parametres!$B$58)^($B$6-1),0)</f>
        <v>27</v>
      </c>
      <c r="E24" s="72" t="n">
        <f aca="false">MAX(1,$B$14*(1-D24/(D24+Parametres!$B$25)))</f>
        <v>158.504672897196</v>
      </c>
      <c r="F24" s="72" t="n">
        <f aca="false">E24*(1+$B$16*(Parametres!$B$24-1))</f>
        <v>176.719927645463</v>
      </c>
      <c r="G24" s="22" t="n">
        <f aca="false">ROUNDUP(B24/F24,0)</f>
        <v>3</v>
      </c>
      <c r="H24" s="72" t="n">
        <f aca="false">MAX(1,C24*(1-$B$15/($B$15+Parametres!$B$25)))</f>
        <v>27.8453038674033</v>
      </c>
      <c r="I24" s="22" t="n">
        <f aca="false">ROUND(H24*MAX(0,G24-1),0)</f>
        <v>56</v>
      </c>
      <c r="J24" s="41" t="n">
        <f aca="false">MIN($B$13,J23+ROUND($B$13*Parametres!$B$26,0))-I24</f>
        <v>1075</v>
      </c>
      <c r="K24" s="73" t="str">
        <f aca="false">IF(AND(K23="OK",J24&gt;0),"OK","ECHEC")</f>
        <v>OK</v>
      </c>
    </row>
    <row r="25" customFormat="false" ht="15" hidden="false" customHeight="true" outlineLevel="0" collapsed="false">
      <c r="A25" s="20" t="n">
        <v>5</v>
      </c>
      <c r="B25" s="21" t="n">
        <f aca="false">ROUND(Parametres!$B$52*A25^Parametres!$B$53*(1+Parametres!$B$58)^($B$6-1)*IF(A25=Parametres!$B$51,Parametres!$B$59,1),0)</f>
        <v>441</v>
      </c>
      <c r="C25" s="21" t="n">
        <f aca="false">ROUND(Parametres!$B$54*A25^Parametres!$B$55*(1+Parametres!$B$58)^($B$6-1)*IF(A25=Parametres!$B$51,Parametres!$B$60,1),0)</f>
        <v>75</v>
      </c>
      <c r="D25" s="21" t="n">
        <f aca="false">ROUND(Parametres!$B$56*A25^Parametres!$B$57*(1+Parametres!$B$58)^($B$6-1),0)</f>
        <v>33</v>
      </c>
      <c r="E25" s="72" t="n">
        <f aca="false">MAX(1,$B$14*(1-D25/(D25+Parametres!$B$25)))</f>
        <v>150.088495575221</v>
      </c>
      <c r="F25" s="72" t="n">
        <f aca="false">E25*(1+$B$16*(Parametres!$B$24-1))</f>
        <v>167.336568655438</v>
      </c>
      <c r="G25" s="22" t="n">
        <f aca="false">ROUNDUP(B25/F25,0)</f>
        <v>3</v>
      </c>
      <c r="H25" s="72" t="n">
        <f aca="false">MAX(1,C25*(1-$B$15/($B$15+Parametres!$B$25)))</f>
        <v>33.1491712707182</v>
      </c>
      <c r="I25" s="22" t="n">
        <f aca="false">ROUND(H25*MAX(0,G25-1),0)</f>
        <v>66</v>
      </c>
      <c r="J25" s="41" t="n">
        <f aca="false">MIN($B$13,J24+ROUND($B$13*Parametres!$B$26,0))-I25</f>
        <v>1065</v>
      </c>
      <c r="K25" s="73" t="str">
        <f aca="false">IF(AND(K24="OK",J25&gt;0),"OK","ECHEC")</f>
        <v>OK</v>
      </c>
    </row>
    <row r="26" customFormat="false" ht="15" hidden="false" customHeight="true" outlineLevel="0" collapsed="false">
      <c r="A26" s="20" t="n">
        <v>6</v>
      </c>
      <c r="B26" s="21" t="n">
        <f aca="false">ROUND(Parametres!$B$52*A26^Parametres!$B$53*(1+Parametres!$B$58)^($B$6-1)*IF(A26=Parametres!$B$51,Parametres!$B$59,1),0)</f>
        <v>520</v>
      </c>
      <c r="C26" s="21" t="n">
        <f aca="false">ROUND(Parametres!$B$54*A26^Parametres!$B$55*(1+Parametres!$B$58)^($B$6-1)*IF(A26=Parametres!$B$51,Parametres!$B$60,1),0)</f>
        <v>87</v>
      </c>
      <c r="D26" s="21" t="n">
        <f aca="false">ROUND(Parametres!$B$56*A26^Parametres!$B$57*(1+Parametres!$B$58)^($B$6-1),0)</f>
        <v>38</v>
      </c>
      <c r="E26" s="72" t="n">
        <f aca="false">MAX(1,$B$14*(1-D26/(D26+Parametres!$B$25)))</f>
        <v>143.728813559322</v>
      </c>
      <c r="F26" s="72" t="n">
        <f aca="false">E26*(1+$B$16*(Parametres!$B$24-1))</f>
        <v>160.246036085293</v>
      </c>
      <c r="G26" s="22" t="n">
        <f aca="false">ROUNDUP(B26/F26,0)</f>
        <v>4</v>
      </c>
      <c r="H26" s="72" t="n">
        <f aca="false">MAX(1,C26*(1-$B$15/($B$15+Parametres!$B$25)))</f>
        <v>38.4530386740331</v>
      </c>
      <c r="I26" s="22" t="n">
        <f aca="false">ROUND(H26*MAX(0,G26-1),0)</f>
        <v>115</v>
      </c>
      <c r="J26" s="41" t="n">
        <f aca="false">MIN($B$13,J25+ROUND($B$13*Parametres!$B$26,0))-I26</f>
        <v>1016</v>
      </c>
      <c r="K26" s="73" t="str">
        <f aca="false">IF(AND(K25="OK",J26&gt;0),"OK","ECHEC")</f>
        <v>OK</v>
      </c>
    </row>
    <row r="27" customFormat="false" ht="15" hidden="false" customHeight="true" outlineLevel="0" collapsed="false">
      <c r="A27" s="20" t="n">
        <v>7</v>
      </c>
      <c r="B27" s="21" t="n">
        <f aca="false">ROUND(Parametres!$B$52*A27^Parametres!$B$53*(1+Parametres!$B$58)^($B$6-1)*IF(A27=Parametres!$B$51,Parametres!$B$59,1),0)</f>
        <v>597</v>
      </c>
      <c r="C27" s="21" t="n">
        <f aca="false">ROUND(Parametres!$B$54*A27^Parametres!$B$55*(1+Parametres!$B$58)^($B$6-1)*IF(A27=Parametres!$B$51,Parametres!$B$60,1),0)</f>
        <v>98</v>
      </c>
      <c r="D27" s="21" t="n">
        <f aca="false">ROUND(Parametres!$B$56*A27^Parametres!$B$57*(1+Parametres!$B$58)^($B$6-1),0)</f>
        <v>43</v>
      </c>
      <c r="E27" s="72" t="n">
        <f aca="false">MAX(1,$B$14*(1-D27/(D27+Parametres!$B$25)))</f>
        <v>137.886178861789</v>
      </c>
      <c r="F27" s="72" t="n">
        <f aca="false">E27*(1+$B$16*(Parametres!$B$24-1))</f>
        <v>153.73196957776</v>
      </c>
      <c r="G27" s="22" t="n">
        <f aca="false">ROUNDUP(B27/F27,0)</f>
        <v>4</v>
      </c>
      <c r="H27" s="72" t="n">
        <f aca="false">MAX(1,C27*(1-$B$15/($B$15+Parametres!$B$25)))</f>
        <v>43.3149171270718</v>
      </c>
      <c r="I27" s="22" t="n">
        <f aca="false">ROUND(H27*MAX(0,G27-1),0)</f>
        <v>130</v>
      </c>
      <c r="J27" s="41" t="n">
        <f aca="false">MIN($B$13,J26+ROUND($B$13*Parametres!$B$26,0))-I27</f>
        <v>1001</v>
      </c>
      <c r="K27" s="73" t="str">
        <f aca="false">IF(AND(K26="OK",J27&gt;0),"OK","ECHEC")</f>
        <v>OK</v>
      </c>
    </row>
    <row r="28" customFormat="false" ht="15" hidden="false" customHeight="true" outlineLevel="0" collapsed="false">
      <c r="A28" s="20" t="n">
        <v>8</v>
      </c>
      <c r="B28" s="21" t="n">
        <f aca="false">ROUND(Parametres!$B$52*A28^Parametres!$B$53*(1+Parametres!$B$58)^($B$6-1)*IF(A28=Parametres!$B$51,Parametres!$B$59,1),0)</f>
        <v>674</v>
      </c>
      <c r="C28" s="21" t="n">
        <f aca="false">ROUND(Parametres!$B$54*A28^Parametres!$B$55*(1+Parametres!$B$58)^($B$6-1)*IF(A28=Parametres!$B$51,Parametres!$B$60,1),0)</f>
        <v>109</v>
      </c>
      <c r="D28" s="21" t="n">
        <f aca="false">ROUND(Parametres!$B$56*A28^Parametres!$B$57*(1+Parametres!$B$58)^($B$6-1),0)</f>
        <v>49</v>
      </c>
      <c r="E28" s="72" t="n">
        <f aca="false">MAX(1,$B$14*(1-D28/(D28+Parametres!$B$25)))</f>
        <v>131.472868217054</v>
      </c>
      <c r="F28" s="72" t="n">
        <f aca="false">E28*(1+$B$16*(Parametres!$B$24-1))</f>
        <v>146.581645411353</v>
      </c>
      <c r="G28" s="22" t="n">
        <f aca="false">ROUNDUP(B28/F28,0)</f>
        <v>5</v>
      </c>
      <c r="H28" s="72" t="n">
        <f aca="false">MAX(1,C28*(1-$B$15/($B$15+Parametres!$B$25)))</f>
        <v>48.1767955801105</v>
      </c>
      <c r="I28" s="22" t="n">
        <f aca="false">ROUND(H28*MAX(0,G28-1),0)</f>
        <v>193</v>
      </c>
      <c r="J28" s="41" t="n">
        <f aca="false">MIN($B$13,J27+ROUND($B$13*Parametres!$B$26,0))-I28</f>
        <v>938</v>
      </c>
      <c r="K28" s="73" t="str">
        <f aca="false">IF(AND(K27="OK",J28&gt;0),"OK","ECHEC")</f>
        <v>OK</v>
      </c>
    </row>
    <row r="29" customFormat="false" ht="15" hidden="false" customHeight="true" outlineLevel="0" collapsed="false">
      <c r="A29" s="20" t="n">
        <v>9</v>
      </c>
      <c r="B29" s="21" t="n">
        <f aca="false">ROUND(Parametres!$B$52*A29^Parametres!$B$53*(1+Parametres!$B$58)^($B$6-1)*IF(A29=Parametres!$B$51,Parametres!$B$59,1),0)</f>
        <v>749</v>
      </c>
      <c r="C29" s="21" t="n">
        <f aca="false">ROUND(Parametres!$B$54*A29^Parametres!$B$55*(1+Parametres!$B$58)^($B$6-1)*IF(A29=Parametres!$B$51,Parametres!$B$60,1),0)</f>
        <v>120</v>
      </c>
      <c r="D29" s="21" t="n">
        <f aca="false">ROUND(Parametres!$B$56*A29^Parametres!$B$57*(1+Parametres!$B$58)^($B$6-1),0)</f>
        <v>54</v>
      </c>
      <c r="E29" s="72" t="n">
        <f aca="false">MAX(1,$B$14*(1-D29/(D29+Parametres!$B$25)))</f>
        <v>126.567164179104</v>
      </c>
      <c r="F29" s="72" t="n">
        <f aca="false">E29*(1+$B$16*(Parametres!$B$24-1))</f>
        <v>141.112181030332</v>
      </c>
      <c r="G29" s="22" t="n">
        <f aca="false">ROUNDUP(B29/F29,0)</f>
        <v>6</v>
      </c>
      <c r="H29" s="72" t="n">
        <f aca="false">MAX(1,C29*(1-$B$15/($B$15+Parametres!$B$25)))</f>
        <v>53.0386740331492</v>
      </c>
      <c r="I29" s="22" t="n">
        <f aca="false">ROUND(H29*MAX(0,G29-1),0)</f>
        <v>265</v>
      </c>
      <c r="J29" s="41" t="n">
        <f aca="false">MIN($B$13,J28+ROUND($B$13*Parametres!$B$26,0))-I29</f>
        <v>866</v>
      </c>
      <c r="K29" s="73" t="str">
        <f aca="false">IF(AND(K28="OK",J29&gt;0),"OK","ECHEC")</f>
        <v>OK</v>
      </c>
    </row>
    <row r="30" customFormat="false" ht="15" hidden="false" customHeight="true" outlineLevel="0" collapsed="false">
      <c r="A30" s="60" t="n">
        <v>10</v>
      </c>
      <c r="B30" s="62" t="n">
        <f aca="false">ROUND(Parametres!$B$52*A30^Parametres!$B$53*(1+Parametres!$B$58)^($B$6-1)*IF(A30=Parametres!$B$51,Parametres!$B$59,1),0)</f>
        <v>1812</v>
      </c>
      <c r="C30" s="62" t="n">
        <f aca="false">ROUND(Parametres!$B$54*A30^Parametres!$B$55*(1+Parametres!$B$58)^($B$6-1)*IF(A30=Parametres!$B$51,Parametres!$B$60,1),0)</f>
        <v>196</v>
      </c>
      <c r="D30" s="62" t="n">
        <f aca="false">ROUND(Parametres!$B$56*A30^Parametres!$B$57*(1+Parametres!$B$58)^($B$6-1),0)</f>
        <v>59</v>
      </c>
      <c r="E30" s="74" t="n">
        <f aca="false">MAX(1,$B$14*(1-D30/(D30+Parametres!$B$25)))</f>
        <v>122.014388489209</v>
      </c>
      <c r="F30" s="74" t="n">
        <f aca="false">E30*(1+$B$16*(Parametres!$B$24-1))</f>
        <v>136.036203295428</v>
      </c>
      <c r="G30" s="63" t="n">
        <f aca="false">ROUNDUP(B30/F30,0)</f>
        <v>14</v>
      </c>
      <c r="H30" s="74" t="n">
        <f aca="false">MAX(1,C30*(1-$B$15/($B$15+Parametres!$B$25)))</f>
        <v>86.6298342541437</v>
      </c>
      <c r="I30" s="63" t="n">
        <f aca="false">ROUND(H30*MAX(0,G30-1),0)</f>
        <v>1126</v>
      </c>
      <c r="J30" s="75" t="n">
        <f aca="false">MIN($B$13,J29+ROUND($B$13*Parametres!$B$26,0))-I30</f>
        <v>5</v>
      </c>
      <c r="K30" s="76" t="str">
        <f aca="false">IF(AND(K29="OK",J30&gt;0),"OK","ECHEC")</f>
        <v>OK</v>
      </c>
    </row>
    <row r="32" customFormat="false" ht="15" hidden="false" customHeight="true" outlineLevel="0" collapsed="false">
      <c r="A32" s="6" t="s">
        <v>472</v>
      </c>
    </row>
    <row r="33" customFormat="false" ht="15" hidden="false" customHeight="true" outlineLevel="0" collapsed="false">
      <c r="A33" s="4" t="s">
        <v>473</v>
      </c>
      <c r="B33" s="77" t="n">
        <f aca="false">SUMPRODUCT(MAX((K21:K30="OK")*A21:A30))</f>
        <v>10</v>
      </c>
    </row>
    <row r="34" customFormat="false" ht="15" hidden="false" customHeight="true" outlineLevel="0" collapsed="false">
      <c r="A34" s="4" t="s">
        <v>474</v>
      </c>
      <c r="B34" s="78" t="str">
        <f aca="false">IF(K30="OK","OUI — cycle nettoye","NON — retour au palier 1")</f>
        <v>OUI — cycle nettoye</v>
      </c>
    </row>
    <row r="35" customFormat="false" ht="15" hidden="false" customHeight="true" outlineLevel="0" collapsed="false">
      <c r="A35" s="4" t="s">
        <v>475</v>
      </c>
      <c r="B35" s="79" t="n">
        <f aca="false">J30</f>
        <v>5</v>
      </c>
    </row>
    <row r="36" customFormat="false" ht="15" hidden="false" customHeight="true" outlineLevel="0" collapsed="false">
      <c r="A36" s="4" t="s">
        <v>476</v>
      </c>
      <c r="B36" s="78" t="str">
        <f aca="false">IF(J30&gt;$B$13*0.4,"Trop facile — augmente le cycle ou la croissance par cycle",IF(J30&gt;0,"Bien calibre — victoire mais serree","Trop dur — il faut plus de niveau ou d'equipement"))</f>
        <v>Bien calibre — victoire mais serree</v>
      </c>
    </row>
    <row r="38" customFormat="false" ht="15" hidden="false" customHeight="true" outlineLevel="0" collapsed="false">
      <c r="A38" s="34" t="s">
        <v>477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3" min="2" style="1" width="14"/>
    <col collapsed="false" customWidth="true" hidden="false" outlineLevel="0" max="4" min="4" style="1" width="18"/>
    <col collapsed="false" customWidth="true" hidden="false" outlineLevel="0" max="5" min="5" style="1" width="16"/>
    <col collapsed="false" customWidth="true" hidden="false" outlineLevel="0" max="6" min="6" style="1" width="34"/>
    <col collapsed="false" customWidth="true" hidden="false" outlineLevel="0" max="7" min="7" style="1" width="16"/>
    <col collapsed="false" customWidth="true" hidden="false" outlineLevel="0" max="13" min="9" style="1" width="12"/>
  </cols>
  <sheetData>
    <row r="1" customFormat="false" ht="17.25" hidden="false" customHeight="true" outlineLevel="0" collapsed="false">
      <c r="A1" s="2" t="s">
        <v>478</v>
      </c>
    </row>
    <row r="2" customFormat="false" ht="15" hidden="false" customHeight="true" outlineLevel="0" collapsed="false">
      <c r="A2" s="18" t="s">
        <v>479</v>
      </c>
    </row>
    <row r="3" customFormat="false" ht="15" hidden="false" customHeight="true" outlineLevel="0" collapsed="false">
      <c r="D3" s="4" t="s">
        <v>480</v>
      </c>
      <c r="E3" s="59" t="n">
        <v>1</v>
      </c>
      <c r="F3" s="8" t="s">
        <v>481</v>
      </c>
    </row>
    <row r="4" customFormat="false" ht="15" hidden="false" customHeight="true" outlineLevel="0" collapsed="false">
      <c r="A4" s="6" t="s">
        <v>482</v>
      </c>
    </row>
    <row r="5" customFormat="false" ht="15" hidden="false" customHeight="true" outlineLevel="0" collapsed="false">
      <c r="A5" s="19" t="s">
        <v>483</v>
      </c>
      <c r="B5" s="19" t="s">
        <v>484</v>
      </c>
      <c r="C5" s="19" t="s">
        <v>485</v>
      </c>
      <c r="D5" s="19" t="s">
        <v>486</v>
      </c>
      <c r="E5" s="19" t="s">
        <v>487</v>
      </c>
    </row>
    <row r="6" customFormat="false" ht="15" hidden="false" customHeight="true" outlineLevel="0" collapsed="false">
      <c r="A6" s="20" t="s">
        <v>488</v>
      </c>
      <c r="B6" s="36" t="s">
        <v>122</v>
      </c>
      <c r="C6" s="36" t="s">
        <v>291</v>
      </c>
      <c r="D6" s="40" t="n">
        <v>1</v>
      </c>
      <c r="E6" s="8" t="s">
        <v>489</v>
      </c>
    </row>
    <row r="7" customFormat="false" ht="15" hidden="false" customHeight="true" outlineLevel="0" collapsed="false">
      <c r="A7" s="20" t="s">
        <v>490</v>
      </c>
      <c r="B7" s="36" t="s">
        <v>117</v>
      </c>
      <c r="C7" s="36" t="s">
        <v>126</v>
      </c>
      <c r="D7" s="40" t="n">
        <v>0.5</v>
      </c>
      <c r="E7" s="8" t="s">
        <v>491</v>
      </c>
    </row>
    <row r="8" customFormat="false" ht="15" hidden="false" customHeight="true" outlineLevel="0" collapsed="false">
      <c r="A8" s="20" t="s">
        <v>492</v>
      </c>
      <c r="B8" s="36" t="s">
        <v>117</v>
      </c>
      <c r="C8" s="36" t="s">
        <v>126</v>
      </c>
      <c r="D8" s="40" t="n">
        <v>0.7</v>
      </c>
      <c r="E8" s="8" t="s">
        <v>493</v>
      </c>
    </row>
    <row r="9" customFormat="false" ht="15" hidden="false" customHeight="true" outlineLevel="0" collapsed="false">
      <c r="A9" s="20" t="s">
        <v>494</v>
      </c>
      <c r="B9" s="36" t="s">
        <v>126</v>
      </c>
      <c r="C9" s="36" t="s">
        <v>117</v>
      </c>
      <c r="D9" s="40" t="n">
        <v>0.5</v>
      </c>
      <c r="E9" s="8" t="s">
        <v>495</v>
      </c>
    </row>
    <row r="10" customFormat="false" ht="15" hidden="false" customHeight="true" outlineLevel="0" collapsed="false">
      <c r="A10" s="20" t="s">
        <v>496</v>
      </c>
      <c r="B10" s="36" t="s">
        <v>291</v>
      </c>
      <c r="C10" s="36" t="s">
        <v>122</v>
      </c>
      <c r="D10" s="40" t="n">
        <v>0.35</v>
      </c>
      <c r="E10" s="8" t="s">
        <v>497</v>
      </c>
    </row>
    <row r="11" customFormat="false" ht="15" hidden="false" customHeight="true" outlineLevel="0" collapsed="false">
      <c r="A11" s="20" t="s">
        <v>498</v>
      </c>
      <c r="B11" s="36" t="s">
        <v>499</v>
      </c>
      <c r="C11" s="36" t="s">
        <v>500</v>
      </c>
      <c r="D11" s="40" t="n">
        <v>0.35</v>
      </c>
      <c r="E11" s="8" t="s">
        <v>501</v>
      </c>
    </row>
    <row r="12" customFormat="false" ht="15" hidden="false" customHeight="true" outlineLevel="0" collapsed="false">
      <c r="A12" s="4" t="s">
        <v>502</v>
      </c>
      <c r="D12" s="80" t="n">
        <f aca="false">SUM(D6:D11)</f>
        <v>3.4</v>
      </c>
    </row>
    <row r="14" customFormat="false" ht="15" hidden="false" customHeight="true" outlineLevel="0" collapsed="false">
      <c r="A14" s="6" t="s">
        <v>503</v>
      </c>
      <c r="I14" s="81" t="s">
        <v>504</v>
      </c>
    </row>
    <row r="15" customFormat="false" ht="21.75" hidden="false" customHeight="true" outlineLevel="0" collapsed="false">
      <c r="A15" s="19" t="s">
        <v>505</v>
      </c>
      <c r="B15" s="19" t="s">
        <v>506</v>
      </c>
      <c r="C15" s="19" t="s">
        <v>507</v>
      </c>
      <c r="D15" s="19" t="s">
        <v>508</v>
      </c>
      <c r="E15" s="19" t="s">
        <v>509</v>
      </c>
      <c r="F15" s="19" t="s">
        <v>510</v>
      </c>
      <c r="G15" s="19" t="s">
        <v>511</v>
      </c>
      <c r="I15" s="19" t="s">
        <v>506</v>
      </c>
      <c r="J15" s="19" t="s">
        <v>507</v>
      </c>
      <c r="K15" s="19" t="s">
        <v>508</v>
      </c>
      <c r="L15" s="19" t="s">
        <v>509</v>
      </c>
      <c r="M15" s="19" t="s">
        <v>510</v>
      </c>
    </row>
    <row r="16" customFormat="false" ht="15" hidden="false" customHeight="true" outlineLevel="0" collapsed="false">
      <c r="A16" s="20" t="n">
        <v>1</v>
      </c>
      <c r="B16" s="21" t="n">
        <f aca="false">ROUND((Parametres!$B$86+Parametres!$B$87*$A16)*Parametres!$B$88*(1+Parametres!$B$58)^($E$3-1),0)</f>
        <v>10</v>
      </c>
      <c r="C16" s="21" t="n">
        <f aca="false">ROUND((Parametres!$B$86+Parametres!$B$87*$A16)*Parametres!$B$89*(1+Parametres!$B$58)^($E$3-1),0)</f>
        <v>16</v>
      </c>
      <c r="D16" s="21" t="n">
        <f aca="false">ROUND((Parametres!$B$86+Parametres!$B$87*$A16)*Parametres!$B$90*(1+Parametres!$B$58)^($E$3-1),0)</f>
        <v>26</v>
      </c>
      <c r="E16" s="21" t="n">
        <f aca="false">ROUND((Parametres!$B$86+Parametres!$B$87*$A16)*Parametres!$B$91*(1+Parametres!$B$58)^($E$3-1),0)</f>
        <v>42</v>
      </c>
      <c r="F16" s="21" t="n">
        <f aca="false">ROUND((Parametres!$B$86+Parametres!$B$87*$A16)*Parametres!$B$92*(1+Parametres!$B$58)^($E$3-1),0)</f>
        <v>68</v>
      </c>
      <c r="G16" s="82" t="n">
        <f aca="false">F16/B16</f>
        <v>6.8</v>
      </c>
      <c r="I16" s="21" t="n">
        <f aca="false">ROUND(B16*Parametres!$B$110,0)</f>
        <v>15</v>
      </c>
      <c r="J16" s="21" t="n">
        <f aca="false">ROUND(C16*Parametres!$B$110,0)</f>
        <v>24</v>
      </c>
      <c r="K16" s="21" t="n">
        <f aca="false">ROUND(D16*Parametres!$B$110,0)</f>
        <v>39</v>
      </c>
      <c r="L16" s="21" t="n">
        <f aca="false">ROUND(E16*Parametres!$B$110,0)</f>
        <v>63</v>
      </c>
      <c r="M16" s="21" t="n">
        <f aca="false">ROUND(F16*Parametres!$B$110,0)</f>
        <v>102</v>
      </c>
    </row>
    <row r="17" customFormat="false" ht="15" hidden="false" customHeight="true" outlineLevel="0" collapsed="false">
      <c r="A17" s="27" t="n">
        <v>2</v>
      </c>
      <c r="B17" s="28" t="n">
        <f aca="false">ROUND((Parametres!$B$86+Parametres!$B$87*$A17)*Parametres!$B$88*(1+Parametres!$B$58)^($E$3-1),0)</f>
        <v>14</v>
      </c>
      <c r="C17" s="28" t="n">
        <f aca="false">ROUND((Parametres!$B$86+Parametres!$B$87*$A17)*Parametres!$B$89*(1+Parametres!$B$58)^($E$3-1),0)</f>
        <v>22</v>
      </c>
      <c r="D17" s="28" t="n">
        <f aca="false">ROUND((Parametres!$B$86+Parametres!$B$87*$A17)*Parametres!$B$90*(1+Parametres!$B$58)^($E$3-1),0)</f>
        <v>36</v>
      </c>
      <c r="E17" s="28" t="n">
        <f aca="false">ROUND((Parametres!$B$86+Parametres!$B$87*$A17)*Parametres!$B$91*(1+Parametres!$B$58)^($E$3-1),0)</f>
        <v>59</v>
      </c>
      <c r="F17" s="28" t="n">
        <f aca="false">ROUND((Parametres!$B$86+Parametres!$B$87*$A17)*Parametres!$B$92*(1+Parametres!$B$58)^($E$3-1),0)</f>
        <v>95</v>
      </c>
      <c r="G17" s="83" t="n">
        <f aca="false">F17/B17</f>
        <v>6.78571428571429</v>
      </c>
      <c r="I17" s="21" t="n">
        <f aca="false">ROUND(B17*Parametres!$B$110,0)</f>
        <v>21</v>
      </c>
      <c r="J17" s="21" t="n">
        <f aca="false">ROUND(C17*Parametres!$B$110,0)</f>
        <v>33</v>
      </c>
      <c r="K17" s="21" t="n">
        <f aca="false">ROUND(D17*Parametres!$B$110,0)</f>
        <v>54</v>
      </c>
      <c r="L17" s="21" t="n">
        <f aca="false">ROUND(E17*Parametres!$B$110,0)</f>
        <v>89</v>
      </c>
      <c r="M17" s="21" t="n">
        <f aca="false">ROUND(F17*Parametres!$B$110,0)</f>
        <v>143</v>
      </c>
    </row>
    <row r="18" customFormat="false" ht="15" hidden="false" customHeight="true" outlineLevel="0" collapsed="false">
      <c r="A18" s="20" t="n">
        <v>3</v>
      </c>
      <c r="B18" s="21" t="n">
        <f aca="false">ROUND((Parametres!$B$86+Parametres!$B$87*$A18)*Parametres!$B$88*(1+Parametres!$B$58)^($E$3-1),0)</f>
        <v>18</v>
      </c>
      <c r="C18" s="21" t="n">
        <f aca="false">ROUND((Parametres!$B$86+Parametres!$B$87*$A18)*Parametres!$B$89*(1+Parametres!$B$58)^($E$3-1),0)</f>
        <v>29</v>
      </c>
      <c r="D18" s="21" t="n">
        <f aca="false">ROUND((Parametres!$B$86+Parametres!$B$87*$A18)*Parametres!$B$90*(1+Parametres!$B$58)^($E$3-1),0)</f>
        <v>47</v>
      </c>
      <c r="E18" s="21" t="n">
        <f aca="false">ROUND((Parametres!$B$86+Parametres!$B$87*$A18)*Parametres!$B$91*(1+Parametres!$B$58)^($E$3-1),0)</f>
        <v>76</v>
      </c>
      <c r="F18" s="21" t="n">
        <f aca="false">ROUND((Parametres!$B$86+Parametres!$B$87*$A18)*Parametres!$B$92*(1+Parametres!$B$58)^($E$3-1),0)</f>
        <v>122</v>
      </c>
      <c r="G18" s="82" t="n">
        <f aca="false">F18/B18</f>
        <v>6.77777777777778</v>
      </c>
      <c r="I18" s="21" t="n">
        <f aca="false">ROUND(B18*Parametres!$B$110,0)</f>
        <v>27</v>
      </c>
      <c r="J18" s="21" t="n">
        <f aca="false">ROUND(C18*Parametres!$B$110,0)</f>
        <v>44</v>
      </c>
      <c r="K18" s="21" t="n">
        <f aca="false">ROUND(D18*Parametres!$B$110,0)</f>
        <v>71</v>
      </c>
      <c r="L18" s="21" t="n">
        <f aca="false">ROUND(E18*Parametres!$B$110,0)</f>
        <v>114</v>
      </c>
      <c r="M18" s="21" t="n">
        <f aca="false">ROUND(F18*Parametres!$B$110,0)</f>
        <v>183</v>
      </c>
    </row>
    <row r="19" customFormat="false" ht="15" hidden="false" customHeight="true" outlineLevel="0" collapsed="false">
      <c r="A19" s="27" t="n">
        <v>4</v>
      </c>
      <c r="B19" s="28" t="n">
        <f aca="false">ROUND((Parametres!$B$86+Parametres!$B$87*$A19)*Parametres!$B$88*(1+Parametres!$B$58)^($E$3-1),0)</f>
        <v>22</v>
      </c>
      <c r="C19" s="28" t="n">
        <f aca="false">ROUND((Parametres!$B$86+Parametres!$B$87*$A19)*Parametres!$B$89*(1+Parametres!$B$58)^($E$3-1),0)</f>
        <v>35</v>
      </c>
      <c r="D19" s="28" t="n">
        <f aca="false">ROUND((Parametres!$B$86+Parametres!$B$87*$A19)*Parametres!$B$90*(1+Parametres!$B$58)^($E$3-1),0)</f>
        <v>57</v>
      </c>
      <c r="E19" s="28" t="n">
        <f aca="false">ROUND((Parametres!$B$86+Parametres!$B$87*$A19)*Parametres!$B$91*(1+Parametres!$B$58)^($E$3-1),0)</f>
        <v>92</v>
      </c>
      <c r="F19" s="28" t="n">
        <f aca="false">ROUND((Parametres!$B$86+Parametres!$B$87*$A19)*Parametres!$B$92*(1+Parametres!$B$58)^($E$3-1),0)</f>
        <v>150</v>
      </c>
      <c r="G19" s="83" t="n">
        <f aca="false">F19/B19</f>
        <v>6.81818181818182</v>
      </c>
      <c r="I19" s="21" t="n">
        <f aca="false">ROUND(B19*Parametres!$B$110,0)</f>
        <v>33</v>
      </c>
      <c r="J19" s="21" t="n">
        <f aca="false">ROUND(C19*Parametres!$B$110,0)</f>
        <v>53</v>
      </c>
      <c r="K19" s="21" t="n">
        <f aca="false">ROUND(D19*Parametres!$B$110,0)</f>
        <v>86</v>
      </c>
      <c r="L19" s="21" t="n">
        <f aca="false">ROUND(E19*Parametres!$B$110,0)</f>
        <v>138</v>
      </c>
      <c r="M19" s="21" t="n">
        <f aca="false">ROUND(F19*Parametres!$B$110,0)</f>
        <v>225</v>
      </c>
    </row>
    <row r="20" customFormat="false" ht="15" hidden="false" customHeight="true" outlineLevel="0" collapsed="false">
      <c r="A20" s="20" t="n">
        <v>5</v>
      </c>
      <c r="B20" s="21" t="n">
        <f aca="false">ROUND((Parametres!$B$86+Parametres!$B$87*$A20)*Parametres!$B$88*(1+Parametres!$B$58)^($E$3-1),0)</f>
        <v>26</v>
      </c>
      <c r="C20" s="21" t="n">
        <f aca="false">ROUND((Parametres!$B$86+Parametres!$B$87*$A20)*Parametres!$B$89*(1+Parametres!$B$58)^($E$3-1),0)</f>
        <v>42</v>
      </c>
      <c r="D20" s="21" t="n">
        <f aca="false">ROUND((Parametres!$B$86+Parametres!$B$87*$A20)*Parametres!$B$90*(1+Parametres!$B$58)^($E$3-1),0)</f>
        <v>68</v>
      </c>
      <c r="E20" s="21" t="n">
        <f aca="false">ROUND((Parametres!$B$86+Parametres!$B$87*$A20)*Parametres!$B$91*(1+Parametres!$B$58)^($E$3-1),0)</f>
        <v>109</v>
      </c>
      <c r="F20" s="21" t="n">
        <f aca="false">ROUND((Parametres!$B$86+Parametres!$B$87*$A20)*Parametres!$B$92*(1+Parametres!$B$58)^($E$3-1),0)</f>
        <v>177</v>
      </c>
      <c r="G20" s="82" t="n">
        <f aca="false">F20/B20</f>
        <v>6.80769230769231</v>
      </c>
      <c r="I20" s="21" t="n">
        <f aca="false">ROUND(B20*Parametres!$B$110,0)</f>
        <v>39</v>
      </c>
      <c r="J20" s="21" t="n">
        <f aca="false">ROUND(C20*Parametres!$B$110,0)</f>
        <v>63</v>
      </c>
      <c r="K20" s="21" t="n">
        <f aca="false">ROUND(D20*Parametres!$B$110,0)</f>
        <v>102</v>
      </c>
      <c r="L20" s="21" t="n">
        <f aca="false">ROUND(E20*Parametres!$B$110,0)</f>
        <v>164</v>
      </c>
      <c r="M20" s="21" t="n">
        <f aca="false">ROUND(F20*Parametres!$B$110,0)</f>
        <v>266</v>
      </c>
    </row>
    <row r="21" customFormat="false" ht="15" hidden="false" customHeight="true" outlineLevel="0" collapsed="false">
      <c r="A21" s="27" t="n">
        <v>6</v>
      </c>
      <c r="B21" s="28" t="n">
        <f aca="false">ROUND((Parametres!$B$86+Parametres!$B$87*$A21)*Parametres!$B$88*(1+Parametres!$B$58)^($E$3-1),0)</f>
        <v>30</v>
      </c>
      <c r="C21" s="28" t="n">
        <f aca="false">ROUND((Parametres!$B$86+Parametres!$B$87*$A21)*Parametres!$B$89*(1+Parametres!$B$58)^($E$3-1),0)</f>
        <v>48</v>
      </c>
      <c r="D21" s="28" t="n">
        <f aca="false">ROUND((Parametres!$B$86+Parametres!$B$87*$A21)*Parametres!$B$90*(1+Parametres!$B$58)^($E$3-1),0)</f>
        <v>78</v>
      </c>
      <c r="E21" s="28" t="n">
        <f aca="false">ROUND((Parametres!$B$86+Parametres!$B$87*$A21)*Parametres!$B$91*(1+Parametres!$B$58)^($E$3-1),0)</f>
        <v>126</v>
      </c>
      <c r="F21" s="28" t="n">
        <f aca="false">ROUND((Parametres!$B$86+Parametres!$B$87*$A21)*Parametres!$B$92*(1+Parametres!$B$58)^($E$3-1),0)</f>
        <v>204</v>
      </c>
      <c r="G21" s="83" t="n">
        <f aca="false">F21/B21</f>
        <v>6.8</v>
      </c>
      <c r="I21" s="21" t="n">
        <f aca="false">ROUND(B21*Parametres!$B$110,0)</f>
        <v>45</v>
      </c>
      <c r="J21" s="21" t="n">
        <f aca="false">ROUND(C21*Parametres!$B$110,0)</f>
        <v>72</v>
      </c>
      <c r="K21" s="21" t="n">
        <f aca="false">ROUND(D21*Parametres!$B$110,0)</f>
        <v>117</v>
      </c>
      <c r="L21" s="21" t="n">
        <f aca="false">ROUND(E21*Parametres!$B$110,0)</f>
        <v>189</v>
      </c>
      <c r="M21" s="21" t="n">
        <f aca="false">ROUND(F21*Parametres!$B$110,0)</f>
        <v>306</v>
      </c>
    </row>
    <row r="22" customFormat="false" ht="15" hidden="false" customHeight="true" outlineLevel="0" collapsed="false">
      <c r="A22" s="20" t="n">
        <v>7</v>
      </c>
      <c r="B22" s="21" t="n">
        <f aca="false">ROUND((Parametres!$B$86+Parametres!$B$87*$A22)*Parametres!$B$88*(1+Parametres!$B$58)^($E$3-1),0)</f>
        <v>34</v>
      </c>
      <c r="C22" s="21" t="n">
        <f aca="false">ROUND((Parametres!$B$86+Parametres!$B$87*$A22)*Parametres!$B$89*(1+Parametres!$B$58)^($E$3-1),0)</f>
        <v>54</v>
      </c>
      <c r="D22" s="21" t="n">
        <f aca="false">ROUND((Parametres!$B$86+Parametres!$B$87*$A22)*Parametres!$B$90*(1+Parametres!$B$58)^($E$3-1),0)</f>
        <v>88</v>
      </c>
      <c r="E22" s="21" t="n">
        <f aca="false">ROUND((Parametres!$B$86+Parametres!$B$87*$A22)*Parametres!$B$91*(1+Parametres!$B$58)^($E$3-1),0)</f>
        <v>143</v>
      </c>
      <c r="F22" s="21" t="n">
        <f aca="false">ROUND((Parametres!$B$86+Parametres!$B$87*$A22)*Parametres!$B$92*(1+Parametres!$B$58)^($E$3-1),0)</f>
        <v>231</v>
      </c>
      <c r="G22" s="82" t="n">
        <f aca="false">F22/B22</f>
        <v>6.79411764705882</v>
      </c>
      <c r="I22" s="21" t="n">
        <f aca="false">ROUND(B22*Parametres!$B$110,0)</f>
        <v>51</v>
      </c>
      <c r="J22" s="21" t="n">
        <f aca="false">ROUND(C22*Parametres!$B$110,0)</f>
        <v>81</v>
      </c>
      <c r="K22" s="21" t="n">
        <f aca="false">ROUND(D22*Parametres!$B$110,0)</f>
        <v>132</v>
      </c>
      <c r="L22" s="21" t="n">
        <f aca="false">ROUND(E22*Parametres!$B$110,0)</f>
        <v>215</v>
      </c>
      <c r="M22" s="21" t="n">
        <f aca="false">ROUND(F22*Parametres!$B$110,0)</f>
        <v>347</v>
      </c>
    </row>
    <row r="23" customFormat="false" ht="15" hidden="false" customHeight="true" outlineLevel="0" collapsed="false">
      <c r="A23" s="27" t="n">
        <v>8</v>
      </c>
      <c r="B23" s="28" t="n">
        <f aca="false">ROUND((Parametres!$B$86+Parametres!$B$87*$A23)*Parametres!$B$88*(1+Parametres!$B$58)^($E$3-1),0)</f>
        <v>38</v>
      </c>
      <c r="C23" s="28" t="n">
        <f aca="false">ROUND((Parametres!$B$86+Parametres!$B$87*$A23)*Parametres!$B$89*(1+Parametres!$B$58)^($E$3-1),0)</f>
        <v>61</v>
      </c>
      <c r="D23" s="28" t="n">
        <f aca="false">ROUND((Parametres!$B$86+Parametres!$B$87*$A23)*Parametres!$B$90*(1+Parametres!$B$58)^($E$3-1),0)</f>
        <v>99</v>
      </c>
      <c r="E23" s="28" t="n">
        <f aca="false">ROUND((Parametres!$B$86+Parametres!$B$87*$A23)*Parametres!$B$91*(1+Parametres!$B$58)^($E$3-1),0)</f>
        <v>160</v>
      </c>
      <c r="F23" s="28" t="n">
        <f aca="false">ROUND((Parametres!$B$86+Parametres!$B$87*$A23)*Parametres!$B$92*(1+Parametres!$B$58)^($E$3-1),0)</f>
        <v>258</v>
      </c>
      <c r="G23" s="83" t="n">
        <f aca="false">F23/B23</f>
        <v>6.78947368421053</v>
      </c>
      <c r="I23" s="21" t="n">
        <f aca="false">ROUND(B23*Parametres!$B$110,0)</f>
        <v>57</v>
      </c>
      <c r="J23" s="21" t="n">
        <f aca="false">ROUND(C23*Parametres!$B$110,0)</f>
        <v>92</v>
      </c>
      <c r="K23" s="21" t="n">
        <f aca="false">ROUND(D23*Parametres!$B$110,0)</f>
        <v>149</v>
      </c>
      <c r="L23" s="21" t="n">
        <f aca="false">ROUND(E23*Parametres!$B$110,0)</f>
        <v>240</v>
      </c>
      <c r="M23" s="21" t="n">
        <f aca="false">ROUND(F23*Parametres!$B$110,0)</f>
        <v>387</v>
      </c>
    </row>
    <row r="24" customFormat="false" ht="15" hidden="false" customHeight="true" outlineLevel="0" collapsed="false">
      <c r="A24" s="20" t="n">
        <v>9</v>
      </c>
      <c r="B24" s="21" t="n">
        <f aca="false">ROUND((Parametres!$B$86+Parametres!$B$87*$A24)*Parametres!$B$88*(1+Parametres!$B$58)^($E$3-1),0)</f>
        <v>42</v>
      </c>
      <c r="C24" s="21" t="n">
        <f aca="false">ROUND((Parametres!$B$86+Parametres!$B$87*$A24)*Parametres!$B$89*(1+Parametres!$B$58)^($E$3-1),0)</f>
        <v>67</v>
      </c>
      <c r="D24" s="21" t="n">
        <f aca="false">ROUND((Parametres!$B$86+Parametres!$B$87*$A24)*Parametres!$B$90*(1+Parametres!$B$58)^($E$3-1),0)</f>
        <v>109</v>
      </c>
      <c r="E24" s="21" t="n">
        <f aca="false">ROUND((Parametres!$B$86+Parametres!$B$87*$A24)*Parametres!$B$91*(1+Parametres!$B$58)^($E$3-1),0)</f>
        <v>176</v>
      </c>
      <c r="F24" s="21" t="n">
        <f aca="false">ROUND((Parametres!$B$86+Parametres!$B$87*$A24)*Parametres!$B$92*(1+Parametres!$B$58)^($E$3-1),0)</f>
        <v>286</v>
      </c>
      <c r="G24" s="82" t="n">
        <f aca="false">F24/B24</f>
        <v>6.80952380952381</v>
      </c>
      <c r="I24" s="21" t="n">
        <f aca="false">ROUND(B24*Parametres!$B$110,0)</f>
        <v>63</v>
      </c>
      <c r="J24" s="21" t="n">
        <f aca="false">ROUND(C24*Parametres!$B$110,0)</f>
        <v>101</v>
      </c>
      <c r="K24" s="21" t="n">
        <f aca="false">ROUND(D24*Parametres!$B$110,0)</f>
        <v>164</v>
      </c>
      <c r="L24" s="21" t="n">
        <f aca="false">ROUND(E24*Parametres!$B$110,0)</f>
        <v>264</v>
      </c>
      <c r="M24" s="21" t="n">
        <f aca="false">ROUND(F24*Parametres!$B$110,0)</f>
        <v>429</v>
      </c>
    </row>
    <row r="25" customFormat="false" ht="15" hidden="false" customHeight="true" outlineLevel="0" collapsed="false">
      <c r="A25" s="27" t="n">
        <v>10</v>
      </c>
      <c r="B25" s="28" t="n">
        <f aca="false">ROUND((Parametres!$B$86+Parametres!$B$87*$A25)*Parametres!$B$88*(1+Parametres!$B$58)^($E$3-1),0)</f>
        <v>46</v>
      </c>
      <c r="C25" s="28" t="n">
        <f aca="false">ROUND((Parametres!$B$86+Parametres!$B$87*$A25)*Parametres!$B$89*(1+Parametres!$B$58)^($E$3-1),0)</f>
        <v>74</v>
      </c>
      <c r="D25" s="28" t="n">
        <f aca="false">ROUND((Parametres!$B$86+Parametres!$B$87*$A25)*Parametres!$B$90*(1+Parametres!$B$58)^($E$3-1),0)</f>
        <v>120</v>
      </c>
      <c r="E25" s="28" t="n">
        <f aca="false">ROUND((Parametres!$B$86+Parametres!$B$87*$A25)*Parametres!$B$91*(1+Parametres!$B$58)^($E$3-1),0)</f>
        <v>193</v>
      </c>
      <c r="F25" s="28" t="n">
        <f aca="false">ROUND((Parametres!$B$86+Parametres!$B$87*$A25)*Parametres!$B$92*(1+Parametres!$B$58)^($E$3-1),0)</f>
        <v>313</v>
      </c>
      <c r="G25" s="83" t="n">
        <f aca="false">F25/B25</f>
        <v>6.80434782608696</v>
      </c>
      <c r="I25" s="21" t="n">
        <f aca="false">ROUND(B25*Parametres!$B$110,0)</f>
        <v>69</v>
      </c>
      <c r="J25" s="21" t="n">
        <f aca="false">ROUND(C25*Parametres!$B$110,0)</f>
        <v>111</v>
      </c>
      <c r="K25" s="21" t="n">
        <f aca="false">ROUND(D25*Parametres!$B$110,0)</f>
        <v>180</v>
      </c>
      <c r="L25" s="21" t="n">
        <f aca="false">ROUND(E25*Parametres!$B$110,0)</f>
        <v>290</v>
      </c>
      <c r="M25" s="21" t="n">
        <f aca="false">ROUND(F25*Parametres!$B$110,0)</f>
        <v>470</v>
      </c>
    </row>
    <row r="27" customFormat="false" ht="15" hidden="false" customHeight="true" outlineLevel="0" collapsed="false">
      <c r="A27" s="34" t="s">
        <v>512</v>
      </c>
    </row>
    <row r="28" customFormat="false" ht="15" hidden="false" customHeight="true" outlineLevel="0" collapsed="false">
      <c r="A28" s="34" t="s">
        <v>513</v>
      </c>
    </row>
    <row r="29" customFormat="false" ht="15" hidden="false" customHeight="true" outlineLevel="0" collapsed="false">
      <c r="A29" s="6" t="s">
        <v>514</v>
      </c>
    </row>
    <row r="30" customFormat="false" ht="15" hidden="false" customHeight="true" outlineLevel="0" collapsed="false">
      <c r="A30" s="34" t="s">
        <v>515</v>
      </c>
    </row>
    <row r="31" customFormat="false" ht="21.75" hidden="false" customHeight="true" outlineLevel="0" collapsed="false">
      <c r="A31" s="19" t="s">
        <v>516</v>
      </c>
      <c r="B31" s="19" t="s">
        <v>517</v>
      </c>
      <c r="C31" s="19" t="s">
        <v>381</v>
      </c>
      <c r="D31" s="19" t="s">
        <v>518</v>
      </c>
      <c r="E31" s="19" t="s">
        <v>519</v>
      </c>
      <c r="F31" s="19" t="s">
        <v>520</v>
      </c>
    </row>
    <row r="32" customFormat="false" ht="15" hidden="false" customHeight="true" outlineLevel="0" collapsed="false">
      <c r="A32" s="27" t="n">
        <v>0</v>
      </c>
      <c r="B32" s="84" t="n">
        <f aca="false">A32*Parametres!$B$93</f>
        <v>0</v>
      </c>
      <c r="C32" s="85" t="n">
        <f aca="false">1+B32</f>
        <v>1</v>
      </c>
      <c r="D32" s="28" t="n">
        <f aca="false">IF(A32=0,0,ROUND(Parametres!$B$95*Parametres!$B$96^(A32-1),0))</f>
        <v>0</v>
      </c>
      <c r="E32" s="29" t="n">
        <f aca="false">D32</f>
        <v>0</v>
      </c>
      <c r="F32" s="31" t="n">
        <f aca="false">ROUND(E32/(Parametres!$B$70+Parametres!$B$71),1)</f>
        <v>0</v>
      </c>
    </row>
    <row r="33" customFormat="false" ht="15" hidden="false" customHeight="true" outlineLevel="0" collapsed="false">
      <c r="A33" s="20" t="n">
        <v>1</v>
      </c>
      <c r="B33" s="86" t="n">
        <f aca="false">A33*Parametres!$B$93</f>
        <v>0.08</v>
      </c>
      <c r="C33" s="87" t="n">
        <f aca="false">1+B33</f>
        <v>1.08</v>
      </c>
      <c r="D33" s="21" t="n">
        <f aca="false">IF(A33=0,0,ROUND(Parametres!$B$95*Parametres!$B$96^(A33-1),0))</f>
        <v>5</v>
      </c>
      <c r="E33" s="22" t="n">
        <f aca="false">E32+D33</f>
        <v>5</v>
      </c>
      <c r="F33" s="24" t="n">
        <f aca="false">ROUND(E33/(Parametres!$B$70+Parametres!$B$71),1)</f>
        <v>1.3</v>
      </c>
    </row>
    <row r="34" customFormat="false" ht="15" hidden="false" customHeight="true" outlineLevel="0" collapsed="false">
      <c r="A34" s="27" t="n">
        <v>2</v>
      </c>
      <c r="B34" s="84" t="n">
        <f aca="false">A34*Parametres!$B$93</f>
        <v>0.16</v>
      </c>
      <c r="C34" s="85" t="n">
        <f aca="false">1+B34</f>
        <v>1.16</v>
      </c>
      <c r="D34" s="28" t="n">
        <f aca="false">IF(A34=0,0,ROUND(Parametres!$B$95*Parametres!$B$96^(A34-1),0))</f>
        <v>6</v>
      </c>
      <c r="E34" s="29" t="n">
        <f aca="false">E33+D34</f>
        <v>11</v>
      </c>
      <c r="F34" s="31" t="n">
        <f aca="false">ROUND(E34/(Parametres!$B$70+Parametres!$B$71),1)</f>
        <v>2.8</v>
      </c>
    </row>
    <row r="35" customFormat="false" ht="15" hidden="false" customHeight="true" outlineLevel="0" collapsed="false">
      <c r="A35" s="20" t="n">
        <v>3</v>
      </c>
      <c r="B35" s="86" t="n">
        <f aca="false">A35*Parametres!$B$93</f>
        <v>0.24</v>
      </c>
      <c r="C35" s="87" t="n">
        <f aca="false">1+B35</f>
        <v>1.24</v>
      </c>
      <c r="D35" s="21" t="n">
        <f aca="false">IF(A35=0,0,ROUND(Parametres!$B$95*Parametres!$B$96^(A35-1),0))</f>
        <v>7</v>
      </c>
      <c r="E35" s="22" t="n">
        <f aca="false">E34+D35</f>
        <v>18</v>
      </c>
      <c r="F35" s="24" t="n">
        <f aca="false">ROUND(E35/(Parametres!$B$70+Parametres!$B$71),1)</f>
        <v>4.5</v>
      </c>
    </row>
    <row r="36" customFormat="false" ht="15" hidden="false" customHeight="true" outlineLevel="0" collapsed="false">
      <c r="A36" s="27" t="n">
        <v>4</v>
      </c>
      <c r="B36" s="84" t="n">
        <f aca="false">A36*Parametres!$B$93</f>
        <v>0.32</v>
      </c>
      <c r="C36" s="85" t="n">
        <f aca="false">1+B36</f>
        <v>1.32</v>
      </c>
      <c r="D36" s="28" t="n">
        <f aca="false">IF(A36=0,0,ROUND(Parametres!$B$95*Parametres!$B$96^(A36-1),0))</f>
        <v>9</v>
      </c>
      <c r="E36" s="29" t="n">
        <f aca="false">E35+D36</f>
        <v>27</v>
      </c>
      <c r="F36" s="31" t="n">
        <f aca="false">ROUND(E36/(Parametres!$B$70+Parametres!$B$71),1)</f>
        <v>6.8</v>
      </c>
    </row>
    <row r="37" customFormat="false" ht="15" hidden="false" customHeight="true" outlineLevel="0" collapsed="false">
      <c r="A37" s="20" t="n">
        <v>5</v>
      </c>
      <c r="B37" s="86" t="n">
        <f aca="false">A37*Parametres!$B$93</f>
        <v>0.4</v>
      </c>
      <c r="C37" s="87" t="n">
        <f aca="false">1+B37</f>
        <v>1.4</v>
      </c>
      <c r="D37" s="21" t="n">
        <f aca="false">IF(A37=0,0,ROUND(Parametres!$B$95*Parametres!$B$96^(A37-1),0))</f>
        <v>11</v>
      </c>
      <c r="E37" s="22" t="n">
        <f aca="false">E36+D37</f>
        <v>38</v>
      </c>
      <c r="F37" s="24" t="n">
        <f aca="false">ROUND(E37/(Parametres!$B$70+Parametres!$B$71),1)</f>
        <v>9.5</v>
      </c>
    </row>
    <row r="38" customFormat="false" ht="15" hidden="false" customHeight="true" outlineLevel="0" collapsed="false">
      <c r="A38" s="27" t="n">
        <v>6</v>
      </c>
      <c r="B38" s="84" t="n">
        <f aca="false">A38*Parametres!$B$93</f>
        <v>0.48</v>
      </c>
      <c r="C38" s="85" t="n">
        <f aca="false">1+B38</f>
        <v>1.48</v>
      </c>
      <c r="D38" s="28" t="n">
        <f aca="false">IF(A38=0,0,ROUND(Parametres!$B$95*Parametres!$B$96^(A38-1),0))</f>
        <v>14</v>
      </c>
      <c r="E38" s="29" t="n">
        <f aca="false">E37+D38</f>
        <v>52</v>
      </c>
      <c r="F38" s="31" t="n">
        <f aca="false">ROUND(E38/(Parametres!$B$70+Parametres!$B$71),1)</f>
        <v>13</v>
      </c>
    </row>
    <row r="39" customFormat="false" ht="15" hidden="false" customHeight="true" outlineLevel="0" collapsed="false">
      <c r="A39" s="20" t="n">
        <v>7</v>
      </c>
      <c r="B39" s="86" t="n">
        <f aca="false">A39*Parametres!$B$93</f>
        <v>0.56</v>
      </c>
      <c r="C39" s="87" t="n">
        <f aca="false">1+B39</f>
        <v>1.56</v>
      </c>
      <c r="D39" s="21" t="n">
        <f aca="false">IF(A39=0,0,ROUND(Parametres!$B$95*Parametres!$B$96^(A39-1),0))</f>
        <v>16</v>
      </c>
      <c r="E39" s="22" t="n">
        <f aca="false">E38+D39</f>
        <v>68</v>
      </c>
      <c r="F39" s="24" t="n">
        <f aca="false">ROUND(E39/(Parametres!$B$70+Parametres!$B$71),1)</f>
        <v>17</v>
      </c>
    </row>
    <row r="40" customFormat="false" ht="15" hidden="false" customHeight="true" outlineLevel="0" collapsed="false">
      <c r="A40" s="27" t="n">
        <v>8</v>
      </c>
      <c r="B40" s="84" t="n">
        <f aca="false">A40*Parametres!$B$93</f>
        <v>0.64</v>
      </c>
      <c r="C40" s="85" t="n">
        <f aca="false">1+B40</f>
        <v>1.64</v>
      </c>
      <c r="D40" s="28" t="n">
        <f aca="false">IF(A40=0,0,ROUND(Parametres!$B$95*Parametres!$B$96^(A40-1),0))</f>
        <v>20</v>
      </c>
      <c r="E40" s="29" t="n">
        <f aca="false">E39+D40</f>
        <v>88</v>
      </c>
      <c r="F40" s="31" t="n">
        <f aca="false">ROUND(E40/(Parametres!$B$70+Parametres!$B$71),1)</f>
        <v>22</v>
      </c>
    </row>
    <row r="41" customFormat="false" ht="15" hidden="false" customHeight="true" outlineLevel="0" collapsed="false">
      <c r="A41" s="20" t="n">
        <v>9</v>
      </c>
      <c r="B41" s="86" t="n">
        <f aca="false">A41*Parametres!$B$93</f>
        <v>0.72</v>
      </c>
      <c r="C41" s="87" t="n">
        <f aca="false">1+B41</f>
        <v>1.72</v>
      </c>
      <c r="D41" s="21" t="n">
        <f aca="false">IF(A41=0,0,ROUND(Parametres!$B$95*Parametres!$B$96^(A41-1),0))</f>
        <v>25</v>
      </c>
      <c r="E41" s="22" t="n">
        <f aca="false">E40+D41</f>
        <v>113</v>
      </c>
      <c r="F41" s="24" t="n">
        <f aca="false">ROUND(E41/(Parametres!$B$70+Parametres!$B$71),1)</f>
        <v>28.3</v>
      </c>
    </row>
    <row r="42" customFormat="false" ht="15" hidden="false" customHeight="true" outlineLevel="0" collapsed="false">
      <c r="A42" s="27" t="n">
        <v>10</v>
      </c>
      <c r="B42" s="84" t="n">
        <f aca="false">A42*Parametres!$B$93</f>
        <v>0.8</v>
      </c>
      <c r="C42" s="85" t="n">
        <f aca="false">1+B42</f>
        <v>1.8</v>
      </c>
      <c r="D42" s="28" t="n">
        <f aca="false">IF(A42=0,0,ROUND(Parametres!$B$95*Parametres!$B$96^(A42-1),0))</f>
        <v>30</v>
      </c>
      <c r="E42" s="29" t="n">
        <f aca="false">E41+D42</f>
        <v>143</v>
      </c>
      <c r="F42" s="31" t="n">
        <f aca="false">ROUND(E42/(Parametres!$B$70+Parametres!$B$71),1)</f>
        <v>35.8</v>
      </c>
    </row>
    <row r="44" customFormat="false" ht="15" hidden="false" customHeight="true" outlineLevel="0" collapsed="false">
      <c r="A44" s="34" t="s">
        <v>521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26"/>
    <col collapsed="false" customWidth="true" hidden="false" outlineLevel="0" max="3" min="3" style="1" width="24"/>
    <col collapsed="false" customWidth="true" hidden="false" outlineLevel="0" max="4" min="4" style="1" width="22"/>
    <col collapsed="false" customWidth="true" hidden="false" outlineLevel="0" max="5" min="5" style="1" width="36"/>
    <col collapsed="false" customWidth="true" hidden="false" outlineLevel="0" max="6" min="6" style="1" width="16"/>
    <col collapsed="false" customWidth="true" hidden="false" outlineLevel="0" max="7" min="7" style="1" width="44"/>
  </cols>
  <sheetData>
    <row r="1" customFormat="false" ht="17.25" hidden="false" customHeight="true" outlineLevel="0" collapsed="false">
      <c r="A1" s="2" t="s">
        <v>522</v>
      </c>
    </row>
    <row r="2" customFormat="false" ht="15" hidden="false" customHeight="true" outlineLevel="0" collapsed="false">
      <c r="A2" s="18" t="s">
        <v>523</v>
      </c>
    </row>
    <row r="4" customFormat="false" ht="15" hidden="false" customHeight="true" outlineLevel="0" collapsed="false">
      <c r="A4" s="6" t="s">
        <v>524</v>
      </c>
    </row>
    <row r="5" customFormat="false" ht="21.75" hidden="false" customHeight="true" outlineLevel="0" collapsed="false">
      <c r="A5" s="19" t="s">
        <v>525</v>
      </c>
      <c r="B5" s="19" t="s">
        <v>526</v>
      </c>
      <c r="C5" s="19" t="s">
        <v>527</v>
      </c>
      <c r="D5" s="19" t="s">
        <v>528</v>
      </c>
      <c r="E5" s="19" t="s">
        <v>529</v>
      </c>
      <c r="F5" s="19" t="s">
        <v>530</v>
      </c>
      <c r="G5" s="19" t="s">
        <v>531</v>
      </c>
    </row>
    <row r="6" customFormat="false" ht="15" hidden="false" customHeight="true" outlineLevel="0" collapsed="false">
      <c r="A6" s="20" t="s">
        <v>506</v>
      </c>
      <c r="B6" s="64" t="n">
        <f aca="false">Parametres!$B$88</f>
        <v>1</v>
      </c>
      <c r="C6" s="37" t="n">
        <v>0</v>
      </c>
      <c r="D6" s="88" t="n">
        <f aca="false">Parametres!$B$107^C6</f>
        <v>1</v>
      </c>
      <c r="E6" s="24" t="n">
        <f aca="false">Parametres!$B$75</f>
        <v>70</v>
      </c>
      <c r="F6" s="89" t="n">
        <f aca="false">E6/SUM($E$6:$E$10)</f>
        <v>0.7</v>
      </c>
      <c r="G6" s="34" t="s">
        <v>532</v>
      </c>
    </row>
    <row r="7" customFormat="false" ht="15" hidden="false" customHeight="true" outlineLevel="0" collapsed="false">
      <c r="A7" s="27" t="s">
        <v>507</v>
      </c>
      <c r="B7" s="65" t="n">
        <f aca="false">Parametres!$B$89</f>
        <v>1.6</v>
      </c>
      <c r="C7" s="48" t="n">
        <v>1</v>
      </c>
      <c r="D7" s="90" t="n">
        <f aca="false">Parametres!$B$107^C7</f>
        <v>3</v>
      </c>
      <c r="E7" s="31" t="n">
        <f aca="false">Parametres!$B$76</f>
        <v>22</v>
      </c>
      <c r="F7" s="91" t="n">
        <f aca="false">E7/SUM($E$6:$E$10)</f>
        <v>0.22</v>
      </c>
      <c r="G7" s="33" t="s">
        <v>533</v>
      </c>
    </row>
    <row r="8" customFormat="false" ht="15" hidden="false" customHeight="true" outlineLevel="0" collapsed="false">
      <c r="A8" s="20" t="s">
        <v>508</v>
      </c>
      <c r="B8" s="64" t="n">
        <f aca="false">Parametres!$B$90</f>
        <v>2.6</v>
      </c>
      <c r="C8" s="37" t="n">
        <v>2</v>
      </c>
      <c r="D8" s="88" t="n">
        <f aca="false">Parametres!$B$107^C8</f>
        <v>9</v>
      </c>
      <c r="E8" s="24" t="n">
        <f aca="false">Parametres!$B$77</f>
        <v>6.5</v>
      </c>
      <c r="F8" s="89" t="n">
        <f aca="false">E8/SUM($E$6:$E$10)</f>
        <v>0.065</v>
      </c>
      <c r="G8" s="34" t="s">
        <v>534</v>
      </c>
    </row>
    <row r="9" customFormat="false" ht="15" hidden="false" customHeight="true" outlineLevel="0" collapsed="false">
      <c r="A9" s="27" t="s">
        <v>509</v>
      </c>
      <c r="B9" s="65" t="n">
        <f aca="false">Parametres!$B$91</f>
        <v>4.2</v>
      </c>
      <c r="C9" s="48" t="n">
        <v>3</v>
      </c>
      <c r="D9" s="90" t="n">
        <f aca="false">Parametres!$B$107^C9</f>
        <v>27</v>
      </c>
      <c r="E9" s="31" t="n">
        <f aca="false">Parametres!$B$78</f>
        <v>1.4</v>
      </c>
      <c r="F9" s="91" t="n">
        <f aca="false">E9/SUM($E$6:$E$10)</f>
        <v>0.014</v>
      </c>
      <c r="G9" s="33" t="s">
        <v>535</v>
      </c>
    </row>
    <row r="10" customFormat="false" ht="15" hidden="false" customHeight="true" outlineLevel="0" collapsed="false">
      <c r="A10" s="20" t="s">
        <v>510</v>
      </c>
      <c r="B10" s="64" t="n">
        <f aca="false">Parametres!$B$92</f>
        <v>6.8</v>
      </c>
      <c r="C10" s="37" t="n">
        <v>4</v>
      </c>
      <c r="D10" s="88" t="n">
        <f aca="false">Parametres!$B$107^C10</f>
        <v>81</v>
      </c>
      <c r="E10" s="24" t="n">
        <f aca="false">Parametres!$B$79</f>
        <v>0.1</v>
      </c>
      <c r="F10" s="89" t="n">
        <f aca="false">E10/SUM($E$6:$E$10)</f>
        <v>0.001</v>
      </c>
      <c r="G10" s="34" t="s">
        <v>536</v>
      </c>
    </row>
    <row r="12" customFormat="false" ht="15" hidden="false" customHeight="true" outlineLevel="0" collapsed="false">
      <c r="A12" s="6" t="s">
        <v>537</v>
      </c>
    </row>
    <row r="13" customFormat="false" ht="15" hidden="false" customHeight="true" outlineLevel="0" collapsed="false">
      <c r="A13" s="8" t="s">
        <v>538</v>
      </c>
    </row>
    <row r="15" customFormat="false" ht="15" hidden="false" customHeight="true" outlineLevel="0" collapsed="false">
      <c r="A15" s="4" t="s">
        <v>539</v>
      </c>
      <c r="B15" s="92" t="n">
        <f aca="false">ROUND(Parametres!$B$111*Parametres!$B$74,1)</f>
        <v>5.6</v>
      </c>
    </row>
    <row r="16" customFormat="false" ht="15" hidden="false" customHeight="true" outlineLevel="0" collapsed="false">
      <c r="A16" s="4" t="s">
        <v>540</v>
      </c>
      <c r="B16" s="93" t="n">
        <f aca="false">ROUND(B15/Parametres!$B$108,2)</f>
        <v>0.93</v>
      </c>
    </row>
    <row r="17" customFormat="false" ht="15" hidden="false" customHeight="true" outlineLevel="0" collapsed="false">
      <c r="A17" s="4" t="s">
        <v>541</v>
      </c>
      <c r="B17" s="93" t="n">
        <f aca="false">SUMPRODUCT($F$6:$F$10,$D$6:$D$10)</f>
        <v>2.404</v>
      </c>
    </row>
    <row r="18" customFormat="false" ht="15" hidden="false" customHeight="true" outlineLevel="0" collapsed="false">
      <c r="A18" s="4" t="s">
        <v>542</v>
      </c>
      <c r="B18" s="93" t="n">
        <f aca="false">B16*B17</f>
        <v>2.23572</v>
      </c>
    </row>
    <row r="20" customFormat="false" ht="15" hidden="false" customHeight="true" outlineLevel="0" collapsed="false">
      <c r="A20" s="6" t="s">
        <v>543</v>
      </c>
    </row>
    <row r="21" customFormat="false" ht="15" hidden="false" customHeight="true" outlineLevel="0" collapsed="false">
      <c r="A21" s="19" t="s">
        <v>544</v>
      </c>
      <c r="B21" s="19" t="s">
        <v>545</v>
      </c>
      <c r="C21" s="19" t="s">
        <v>546</v>
      </c>
      <c r="D21" s="19" t="s">
        <v>547</v>
      </c>
      <c r="E21" s="19" t="s">
        <v>434</v>
      </c>
    </row>
    <row r="22" customFormat="false" ht="15" hidden="false" customHeight="true" outlineLevel="0" collapsed="false">
      <c r="A22" s="20" t="s">
        <v>506</v>
      </c>
      <c r="B22" s="21" t="n">
        <f aca="false">D6</f>
        <v>1</v>
      </c>
      <c r="C22" s="25" t="n">
        <f aca="false">ROUND(B22/$B$18,1)</f>
        <v>0.4</v>
      </c>
      <c r="D22" s="25" t="n">
        <f aca="false">ROUND(C22/4.345,1)</f>
        <v>0.1</v>
      </c>
      <c r="E22" s="34" t="s">
        <v>548</v>
      </c>
    </row>
    <row r="23" customFormat="false" ht="15" hidden="false" customHeight="true" outlineLevel="0" collapsed="false">
      <c r="A23" s="27" t="s">
        <v>507</v>
      </c>
      <c r="B23" s="28" t="n">
        <f aca="false">D7</f>
        <v>3</v>
      </c>
      <c r="C23" s="32" t="n">
        <f aca="false">ROUND(B23/$B$18,1)</f>
        <v>1.3</v>
      </c>
      <c r="D23" s="32" t="n">
        <f aca="false">ROUND(C23/4.345,1)</f>
        <v>0.3</v>
      </c>
      <c r="E23" s="33" t="s">
        <v>549</v>
      </c>
    </row>
    <row r="24" customFormat="false" ht="15" hidden="false" customHeight="true" outlineLevel="0" collapsed="false">
      <c r="A24" s="20" t="s">
        <v>508</v>
      </c>
      <c r="B24" s="21" t="n">
        <f aca="false">D8</f>
        <v>9</v>
      </c>
      <c r="C24" s="25" t="n">
        <f aca="false">ROUND(B24/$B$18,1)</f>
        <v>4</v>
      </c>
      <c r="D24" s="25" t="n">
        <f aca="false">ROUND(C24/4.345,1)</f>
        <v>0.9</v>
      </c>
      <c r="E24" s="34" t="s">
        <v>550</v>
      </c>
    </row>
    <row r="25" customFormat="false" ht="15" hidden="false" customHeight="true" outlineLevel="0" collapsed="false">
      <c r="A25" s="27" t="s">
        <v>509</v>
      </c>
      <c r="B25" s="28" t="n">
        <f aca="false">D9</f>
        <v>27</v>
      </c>
      <c r="C25" s="32" t="n">
        <f aca="false">ROUND(B25/$B$18,1)</f>
        <v>12.1</v>
      </c>
      <c r="D25" s="32" t="n">
        <f aca="false">ROUND(C25/4.345,1)</f>
        <v>2.8</v>
      </c>
      <c r="E25" s="33" t="s">
        <v>551</v>
      </c>
    </row>
    <row r="26" customFormat="false" ht="15" hidden="false" customHeight="true" outlineLevel="0" collapsed="false">
      <c r="A26" s="20" t="s">
        <v>510</v>
      </c>
      <c r="B26" s="21" t="n">
        <f aca="false">D10</f>
        <v>81</v>
      </c>
      <c r="C26" s="25" t="n">
        <f aca="false">ROUND(B26/$B$18,1)</f>
        <v>36.2</v>
      </c>
      <c r="D26" s="25" t="n">
        <f aca="false">ROUND(C26/4.345,1)</f>
        <v>8.3</v>
      </c>
      <c r="E26" s="34" t="s">
        <v>552</v>
      </c>
    </row>
    <row r="28" customFormat="false" ht="15" hidden="false" customHeight="true" outlineLevel="0" collapsed="false">
      <c r="A28" s="6" t="s">
        <v>553</v>
      </c>
    </row>
    <row r="29" customFormat="false" ht="15" hidden="false" customHeight="true" outlineLevel="0" collapsed="false">
      <c r="A29" s="8" t="s">
        <v>554</v>
      </c>
    </row>
    <row r="30" customFormat="false" ht="21.75" hidden="false" customHeight="true" outlineLevel="0" collapsed="false">
      <c r="A30" s="19" t="s">
        <v>555</v>
      </c>
      <c r="B30" s="19" t="s">
        <v>556</v>
      </c>
      <c r="C30" s="19" t="s">
        <v>557</v>
      </c>
      <c r="D30" s="19" t="s">
        <v>558</v>
      </c>
    </row>
    <row r="31" customFormat="false" ht="15" hidden="false" customHeight="true" outlineLevel="0" collapsed="false">
      <c r="A31" s="51" t="n">
        <v>0</v>
      </c>
      <c r="B31" s="23" t="n">
        <f aca="false">A31*Parametres!$B$109</f>
        <v>0</v>
      </c>
      <c r="C31" s="94" t="n">
        <f aca="false">ROUND($D$10*B31,1)</f>
        <v>0</v>
      </c>
      <c r="D31" s="25" t="n">
        <f aca="false">ROUND(C31/$B$18,1)</f>
        <v>0</v>
      </c>
    </row>
    <row r="32" customFormat="false" ht="15" hidden="false" customHeight="true" outlineLevel="0" collapsed="false">
      <c r="A32" s="51" t="n">
        <v>10</v>
      </c>
      <c r="B32" s="23" t="n">
        <f aca="false">A32*Parametres!$B$109</f>
        <v>0.05</v>
      </c>
      <c r="C32" s="94" t="n">
        <f aca="false">ROUND($D$10*B32,1)</f>
        <v>4.1</v>
      </c>
      <c r="D32" s="25" t="n">
        <f aca="false">ROUND(C32/$B$18,1)</f>
        <v>1.8</v>
      </c>
    </row>
    <row r="33" customFormat="false" ht="15" hidden="false" customHeight="true" outlineLevel="0" collapsed="false">
      <c r="A33" s="51" t="n">
        <v>20</v>
      </c>
      <c r="B33" s="23" t="n">
        <f aca="false">A33*Parametres!$B$109</f>
        <v>0.1</v>
      </c>
      <c r="C33" s="94" t="n">
        <f aca="false">ROUND($D$10*B33,1)</f>
        <v>8.1</v>
      </c>
      <c r="D33" s="25" t="n">
        <f aca="false">ROUND(C33/$B$18,1)</f>
        <v>3.6</v>
      </c>
    </row>
    <row r="34" customFormat="false" ht="15" hidden="false" customHeight="true" outlineLevel="0" collapsed="false">
      <c r="A34" s="51" t="n">
        <v>30</v>
      </c>
      <c r="B34" s="23" t="n">
        <f aca="false">A34*Parametres!$B$109</f>
        <v>0.15</v>
      </c>
      <c r="C34" s="94" t="n">
        <f aca="false">ROUND($D$10*B34,1)</f>
        <v>12.2</v>
      </c>
      <c r="D34" s="25" t="n">
        <f aca="false">ROUND(C34/$B$18,1)</f>
        <v>5.5</v>
      </c>
    </row>
    <row r="35" customFormat="false" ht="15" hidden="false" customHeight="true" outlineLevel="0" collapsed="false">
      <c r="A35" s="51" t="n">
        <v>45</v>
      </c>
      <c r="B35" s="23" t="n">
        <f aca="false">A35*Parametres!$B$109</f>
        <v>0.225</v>
      </c>
      <c r="C35" s="94" t="n">
        <f aca="false">ROUND($D$10*B35,1)</f>
        <v>18.2</v>
      </c>
      <c r="D35" s="25" t="n">
        <f aca="false">ROUND(C35/$B$18,1)</f>
        <v>8.1</v>
      </c>
    </row>
    <row r="37" customFormat="false" ht="15" hidden="false" customHeight="true" outlineLevel="0" collapsed="false">
      <c r="A37" s="6" t="s">
        <v>559</v>
      </c>
    </row>
    <row r="38" customFormat="false" ht="15" hidden="false" customHeight="true" outlineLevel="0" collapsed="false">
      <c r="A38" s="19" t="s">
        <v>560</v>
      </c>
      <c r="B38" s="19" t="s">
        <v>561</v>
      </c>
      <c r="C38" s="19" t="s">
        <v>562</v>
      </c>
    </row>
    <row r="39" customFormat="false" ht="15" hidden="false" customHeight="true" outlineLevel="0" collapsed="false">
      <c r="A39" s="44" t="s">
        <v>563</v>
      </c>
      <c r="B39" s="70" t="n">
        <f aca="false">Equipement!$I$23</f>
        <v>57</v>
      </c>
    </row>
    <row r="40" customFormat="false" ht="15" hidden="false" customHeight="true" outlineLevel="0" collapsed="false">
      <c r="A40" s="44" t="s">
        <v>564</v>
      </c>
      <c r="B40" s="70" t="n">
        <f aca="false">Parametres!$B$67</f>
        <v>3000</v>
      </c>
    </row>
    <row r="41" customFormat="false" ht="15" hidden="false" customHeight="true" outlineLevel="0" collapsed="false">
      <c r="A41" s="44" t="s">
        <v>565</v>
      </c>
      <c r="B41" s="95" t="n">
        <f aca="false">ROUND(B40/B39,0)</f>
        <v>53</v>
      </c>
    </row>
    <row r="42" customFormat="false" ht="15" hidden="false" customHeight="true" outlineLevel="0" collapsed="false">
      <c r="A42" s="44" t="s">
        <v>566</v>
      </c>
      <c r="B42" s="96" t="n">
        <v>1</v>
      </c>
    </row>
    <row r="43" customFormat="false" ht="15" hidden="false" customHeight="true" outlineLevel="0" collapsed="false">
      <c r="A43" s="44" t="s">
        <v>567</v>
      </c>
      <c r="B43" s="95" t="n">
        <f aca="false">B41</f>
        <v>53</v>
      </c>
      <c r="C43" s="34" t="s">
        <v>568</v>
      </c>
    </row>
    <row r="45" customFormat="false" ht="15" hidden="false" customHeight="true" outlineLevel="0" collapsed="false">
      <c r="A45" s="6" t="s">
        <v>569</v>
      </c>
    </row>
    <row r="46" customFormat="false" ht="15" hidden="false" customHeight="true" outlineLevel="0" collapsed="false">
      <c r="A46" s="44" t="s">
        <v>570</v>
      </c>
      <c r="B46" s="97" t="s">
        <v>571</v>
      </c>
    </row>
    <row r="47" customFormat="false" ht="15" hidden="false" customHeight="true" outlineLevel="0" collapsed="false">
      <c r="A47" s="44" t="s">
        <v>572</v>
      </c>
      <c r="B47" s="97" t="s">
        <v>573</v>
      </c>
    </row>
    <row r="48" customFormat="false" ht="15" hidden="false" customHeight="true" outlineLevel="0" collapsed="false">
      <c r="A48" s="44" t="s">
        <v>574</v>
      </c>
      <c r="B48" s="97" t="s">
        <v>575</v>
      </c>
    </row>
    <row r="49" customFormat="false" ht="15" hidden="false" customHeight="true" outlineLevel="0" collapsed="false">
      <c r="A49" s="44" t="s">
        <v>576</v>
      </c>
      <c r="B49" s="97" t="s">
        <v>577</v>
      </c>
    </row>
    <row r="50" customFormat="false" ht="15" hidden="false" customHeight="true" outlineLevel="0" collapsed="false">
      <c r="A50" s="44" t="s">
        <v>578</v>
      </c>
      <c r="B50" s="97" t="s">
        <v>579</v>
      </c>
    </row>
    <row r="53" customFormat="false" ht="15" hidden="false" customHeight="true" outlineLevel="0" collapsed="false">
      <c r="A53" s="6" t="s">
        <v>580</v>
      </c>
    </row>
    <row r="54" customFormat="false" ht="15" hidden="false" customHeight="true" outlineLevel="0" collapsed="false">
      <c r="A54" s="8" t="s">
        <v>581</v>
      </c>
    </row>
    <row r="55" customFormat="false" ht="21.75" hidden="false" customHeight="true" outlineLevel="0" collapsed="false">
      <c r="A55" s="19" t="s">
        <v>582</v>
      </c>
      <c r="B55" s="19" t="s">
        <v>583</v>
      </c>
      <c r="C55" s="19" t="s">
        <v>584</v>
      </c>
      <c r="D55" s="19" t="s">
        <v>585</v>
      </c>
      <c r="E55" s="19" t="s">
        <v>586</v>
      </c>
    </row>
    <row r="56" customFormat="false" ht="15" hidden="false" customHeight="true" outlineLevel="0" collapsed="false">
      <c r="A56" s="20" t="s">
        <v>587</v>
      </c>
      <c r="B56" s="21" t="n">
        <f aca="false">ROUND(Parametres!$B$112*Parametres!$B$113^0,0)</f>
        <v>200</v>
      </c>
      <c r="C56" s="37" t="n">
        <v>27</v>
      </c>
      <c r="D56" s="98" t="n">
        <f aca="false">B56*C56</f>
        <v>5400</v>
      </c>
      <c r="E56" s="24" t="n">
        <f aca="false">ROUND(D56/Economie!$C$12,1)</f>
        <v>1.6</v>
      </c>
    </row>
    <row r="57" customFormat="false" ht="15" hidden="false" customHeight="true" outlineLevel="0" collapsed="false">
      <c r="A57" s="20" t="s">
        <v>588</v>
      </c>
      <c r="B57" s="21" t="n">
        <f aca="false">ROUND(Parametres!$B$112*Parametres!$B$113^1,0)</f>
        <v>600</v>
      </c>
      <c r="C57" s="37" t="n">
        <v>9</v>
      </c>
      <c r="D57" s="98" t="n">
        <f aca="false">B57*C57</f>
        <v>5400</v>
      </c>
      <c r="E57" s="24" t="n">
        <f aca="false">ROUND(D57/Economie!$C$12,1)</f>
        <v>1.6</v>
      </c>
    </row>
    <row r="58" customFormat="false" ht="15" hidden="false" customHeight="true" outlineLevel="0" collapsed="false">
      <c r="A58" s="20" t="s">
        <v>589</v>
      </c>
      <c r="B58" s="21" t="n">
        <f aca="false">ROUND(Parametres!$B$112*Parametres!$B$113^2,0)</f>
        <v>1800</v>
      </c>
      <c r="C58" s="37" t="n">
        <v>3</v>
      </c>
      <c r="D58" s="98" t="n">
        <f aca="false">B58*C58</f>
        <v>5400</v>
      </c>
      <c r="E58" s="24" t="n">
        <f aca="false">ROUND(D58/Economie!$C$12,1)</f>
        <v>1.6</v>
      </c>
    </row>
    <row r="59" customFormat="false" ht="15" hidden="false" customHeight="true" outlineLevel="0" collapsed="false">
      <c r="A59" s="20" t="s">
        <v>590</v>
      </c>
      <c r="B59" s="21" t="n">
        <f aca="false">ROUND(Parametres!$B$112*Parametres!$B$113^3,0)</f>
        <v>5400</v>
      </c>
      <c r="C59" s="37" t="n">
        <v>1</v>
      </c>
      <c r="D59" s="98" t="n">
        <f aca="false">B59*C59</f>
        <v>5400</v>
      </c>
      <c r="E59" s="24" t="n">
        <f aca="false">ROUND(D59/Economie!$C$12,1)</f>
        <v>1.6</v>
      </c>
    </row>
    <row r="60" customFormat="false" ht="15" hidden="false" customHeight="true" outlineLevel="0" collapsed="false">
      <c r="A60" s="4" t="s">
        <v>591</v>
      </c>
      <c r="C60" s="99" t="n">
        <f aca="false">SUM(C56:C59)</f>
        <v>40</v>
      </c>
      <c r="D60" s="100" t="n">
        <f aca="false">SUM(D56:D59)</f>
        <v>21600</v>
      </c>
      <c r="E60" s="101" t="n">
        <f aca="false">SUM(E56:E59)</f>
        <v>6.4</v>
      </c>
    </row>
    <row r="62" customFormat="false" ht="15" hidden="false" customHeight="true" outlineLevel="0" collapsed="false">
      <c r="A62" s="34" t="s">
        <v>592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4"/>
    <col collapsed="false" customWidth="true" hidden="false" outlineLevel="0" max="4" min="4" style="1" width="22"/>
    <col collapsed="false" customWidth="true" hidden="false" outlineLevel="0" max="7" min="5" style="1" width="18"/>
  </cols>
  <sheetData>
    <row r="1" customFormat="false" ht="17.25" hidden="false" customHeight="true" outlineLevel="0" collapsed="false">
      <c r="A1" s="2" t="s">
        <v>593</v>
      </c>
    </row>
    <row r="2" customFormat="false" ht="15" hidden="false" customHeight="true" outlineLevel="0" collapsed="false">
      <c r="A2" s="18" t="s">
        <v>594</v>
      </c>
    </row>
    <row r="4" customFormat="false" ht="15" hidden="false" customHeight="true" outlineLevel="0" collapsed="false">
      <c r="A4" s="4" t="s">
        <v>595</v>
      </c>
      <c r="B4" s="59" t="n">
        <v>20</v>
      </c>
      <c r="C4" s="8" t="s">
        <v>596</v>
      </c>
    </row>
    <row r="6" customFormat="false" ht="15" hidden="false" customHeight="true" outlineLevel="0" collapsed="false">
      <c r="A6" s="6" t="s">
        <v>597</v>
      </c>
    </row>
    <row r="7" customFormat="false" ht="21.75" hidden="false" customHeight="true" outlineLevel="0" collapsed="false">
      <c r="A7" s="19" t="s">
        <v>525</v>
      </c>
      <c r="B7" s="19" t="s">
        <v>598</v>
      </c>
      <c r="C7" s="19" t="s">
        <v>599</v>
      </c>
      <c r="D7" s="19" t="s">
        <v>600</v>
      </c>
      <c r="E7" s="19" t="s">
        <v>601</v>
      </c>
      <c r="F7" s="19" t="s">
        <v>602</v>
      </c>
      <c r="G7" s="19" t="s">
        <v>603</v>
      </c>
    </row>
    <row r="8" customFormat="false" ht="15" hidden="false" customHeight="true" outlineLevel="0" collapsed="false">
      <c r="A8" s="20" t="s">
        <v>506</v>
      </c>
      <c r="B8" s="24" t="n">
        <f aca="false">Parametres!$B$75</f>
        <v>70</v>
      </c>
      <c r="C8" s="51" t="n">
        <v>0</v>
      </c>
      <c r="D8" s="102" t="n">
        <f aca="false">B8*(1+$B$4*Parametres!$B$80*C8)</f>
        <v>70</v>
      </c>
      <c r="E8" s="89" t="n">
        <f aca="false">D8/SUM($D$8:$D$12)</f>
        <v>0.648628613787991</v>
      </c>
      <c r="F8" s="94" t="n">
        <f aca="false">1/E8</f>
        <v>1.54171428571429</v>
      </c>
      <c r="G8" s="72" t="n">
        <f aca="false">F8/Parametres!$B$74</f>
        <v>15.4171428571429</v>
      </c>
    </row>
    <row r="9" customFormat="false" ht="15" hidden="false" customHeight="true" outlineLevel="0" collapsed="false">
      <c r="A9" s="20" t="s">
        <v>507</v>
      </c>
      <c r="B9" s="24" t="n">
        <f aca="false">Parametres!$B$76</f>
        <v>22</v>
      </c>
      <c r="C9" s="51" t="n">
        <v>1</v>
      </c>
      <c r="D9" s="102" t="n">
        <f aca="false">B9*(1+$B$4*Parametres!$B$80*C9)</f>
        <v>26.4</v>
      </c>
      <c r="E9" s="89" t="n">
        <f aca="false">D9/SUM($D$8:$D$12)</f>
        <v>0.244625648628614</v>
      </c>
      <c r="F9" s="94" t="n">
        <f aca="false">1/E9</f>
        <v>4.08787878787879</v>
      </c>
      <c r="G9" s="72" t="n">
        <f aca="false">F9/Parametres!$B$74</f>
        <v>40.8787878787879</v>
      </c>
    </row>
    <row r="10" customFormat="false" ht="15" hidden="false" customHeight="true" outlineLevel="0" collapsed="false">
      <c r="A10" s="20" t="s">
        <v>508</v>
      </c>
      <c r="B10" s="24" t="n">
        <f aca="false">Parametres!$B$77</f>
        <v>6.5</v>
      </c>
      <c r="C10" s="51" t="n">
        <v>2</v>
      </c>
      <c r="D10" s="102" t="n">
        <f aca="false">B10*(1+$B$4*Parametres!$B$80*C10)</f>
        <v>9.1</v>
      </c>
      <c r="E10" s="89" t="n">
        <f aca="false">D10/SUM($D$8:$D$12)</f>
        <v>0.0843217197924388</v>
      </c>
      <c r="F10" s="94" t="n">
        <f aca="false">1/E10</f>
        <v>11.8593406593407</v>
      </c>
      <c r="G10" s="72" t="n">
        <f aca="false">F10/Parametres!$B$74</f>
        <v>118.593406593407</v>
      </c>
    </row>
    <row r="11" customFormat="false" ht="15" hidden="false" customHeight="true" outlineLevel="0" collapsed="false">
      <c r="A11" s="20" t="s">
        <v>509</v>
      </c>
      <c r="B11" s="24" t="n">
        <f aca="false">Parametres!$B$78</f>
        <v>1.4</v>
      </c>
      <c r="C11" s="51" t="n">
        <v>3</v>
      </c>
      <c r="D11" s="102" t="n">
        <f aca="false">B11*(1+$B$4*Parametres!$B$80*C11)</f>
        <v>2.24</v>
      </c>
      <c r="E11" s="89" t="n">
        <f aca="false">D11/SUM($D$8:$D$12)</f>
        <v>0.0207561156412157</v>
      </c>
      <c r="F11" s="94" t="n">
        <f aca="false">1/E11</f>
        <v>48.1785714285714</v>
      </c>
      <c r="G11" s="72" t="n">
        <f aca="false">F11/Parametres!$B$74</f>
        <v>481.785714285714</v>
      </c>
    </row>
    <row r="12" customFormat="false" ht="15" hidden="false" customHeight="true" outlineLevel="0" collapsed="false">
      <c r="A12" s="20" t="s">
        <v>510</v>
      </c>
      <c r="B12" s="24" t="n">
        <f aca="false">Parametres!$B$79</f>
        <v>0.1</v>
      </c>
      <c r="C12" s="51" t="n">
        <v>4</v>
      </c>
      <c r="D12" s="102" t="n">
        <f aca="false">B12*(1+$B$4*Parametres!$B$80*C12)</f>
        <v>0.18</v>
      </c>
      <c r="E12" s="89" t="n">
        <f aca="false">D12/SUM($D$8:$D$12)</f>
        <v>0.00166790214974055</v>
      </c>
      <c r="F12" s="94" t="n">
        <f aca="false">1/E12</f>
        <v>599.555555555556</v>
      </c>
      <c r="G12" s="72" t="n">
        <f aca="false">F12/Parametres!$B$74</f>
        <v>5995.55555555556</v>
      </c>
    </row>
    <row r="13" customFormat="false" ht="15" hidden="false" customHeight="true" outlineLevel="0" collapsed="false">
      <c r="A13" s="4" t="s">
        <v>604</v>
      </c>
      <c r="D13" s="80" t="n">
        <f aca="false">SUM(D8:D12)</f>
        <v>107.92</v>
      </c>
      <c r="E13" s="103" t="n">
        <f aca="false">SUM(E8:E12)</f>
        <v>1</v>
      </c>
    </row>
    <row r="15" customFormat="false" ht="15" hidden="false" customHeight="true" outlineLevel="0" collapsed="false">
      <c r="A15" s="6" t="s">
        <v>605</v>
      </c>
    </row>
    <row r="16" customFormat="false" ht="15" hidden="false" customHeight="true" outlineLevel="0" collapsed="false">
      <c r="A16" s="19" t="s">
        <v>606</v>
      </c>
      <c r="B16" s="19" t="s">
        <v>607</v>
      </c>
      <c r="C16" s="19" t="s">
        <v>608</v>
      </c>
      <c r="D16" s="19" t="s">
        <v>609</v>
      </c>
    </row>
    <row r="17" customFormat="false" ht="15" hidden="false" customHeight="true" outlineLevel="0" collapsed="false">
      <c r="A17" s="20" t="n">
        <v>10</v>
      </c>
      <c r="B17" s="104" t="n">
        <f aca="false">1-(1-$E$11)^A17</f>
        <v>0.189209447751426</v>
      </c>
      <c r="C17" s="23" t="n">
        <f aca="false">IF(A17&gt;=Parametres!$B$83,1,1-(1-$E$11)^MIN(A17,Parametres!$B$81)*IF(A17&gt;Parametres!$B$81,PRODUCT(1)*(1-$E$11-Parametres!$B$82)^(A17-Parametres!$B$81),1))</f>
        <v>0.189209447751426</v>
      </c>
      <c r="D17" s="21" t="n">
        <f aca="false">ROUND(A17/(Parametres!$B$74*8),0)</f>
        <v>13</v>
      </c>
    </row>
    <row r="18" customFormat="false" ht="15" hidden="false" customHeight="true" outlineLevel="0" collapsed="false">
      <c r="A18" s="20" t="n">
        <v>20</v>
      </c>
      <c r="B18" s="104" t="n">
        <f aca="false">1-(1-$E$11)^A18</f>
        <v>0.342618680384453</v>
      </c>
      <c r="C18" s="23" t="n">
        <f aca="false">IF(A18&gt;=Parametres!$B$83,1,1-(1-$E$11)^MIN(A18,Parametres!$B$81)*IF(A18&gt;Parametres!$B$81,PRODUCT(1)*(1-$E$11-Parametres!$B$82)^(A18-Parametres!$B$81),1))</f>
        <v>0.342618680384453</v>
      </c>
      <c r="D18" s="21" t="n">
        <f aca="false">ROUND(A18/(Parametres!$B$74*8),0)</f>
        <v>25</v>
      </c>
    </row>
    <row r="19" customFormat="false" ht="15" hidden="false" customHeight="true" outlineLevel="0" collapsed="false">
      <c r="A19" s="20" t="n">
        <v>30</v>
      </c>
      <c r="B19" s="104" t="n">
        <f aca="false">1-(1-$E$11)^A19</f>
        <v>0.467001436831014</v>
      </c>
      <c r="C19" s="23" t="n">
        <f aca="false">IF(A19&gt;=Parametres!$B$83,1,1-(1-$E$11)^MIN(A19,Parametres!$B$81)*IF(A19&gt;Parametres!$B$81,PRODUCT(1)*(1-$E$11-Parametres!$B$82)^(A19-Parametres!$B$81),1))</f>
        <v>0.467001436831014</v>
      </c>
      <c r="D19" s="21" t="n">
        <f aca="false">ROUND(A19/(Parametres!$B$74*8),0)</f>
        <v>38</v>
      </c>
    </row>
    <row r="20" customFormat="false" ht="15" hidden="false" customHeight="true" outlineLevel="0" collapsed="false">
      <c r="A20" s="20" t="n">
        <v>40</v>
      </c>
      <c r="B20" s="104" t="n">
        <f aca="false">1-(1-$E$11)^A20</f>
        <v>0.567849800620522</v>
      </c>
      <c r="C20" s="23" t="n">
        <f aca="false">IF(A20&gt;=Parametres!$B$83,1,1-(1-$E$11)^MIN(A20,Parametres!$B$81)*IF(A20&gt;Parametres!$B$81,PRODUCT(1)*(1-$E$11-Parametres!$B$82)^(A20-Parametres!$B$81),1))</f>
        <v>0.567849800620522</v>
      </c>
      <c r="D20" s="21" t="n">
        <f aca="false">ROUND(A20/(Parametres!$B$74*8),0)</f>
        <v>50</v>
      </c>
    </row>
    <row r="21" customFormat="false" ht="15" hidden="false" customHeight="true" outlineLevel="0" collapsed="false">
      <c r="A21" s="20" t="n">
        <v>50</v>
      </c>
      <c r="B21" s="104" t="n">
        <f aca="false">1-(1-$E$11)^A21</f>
        <v>0.649616701190781</v>
      </c>
      <c r="C21" s="23" t="n">
        <f aca="false">IF(A21&gt;=Parametres!$B$83,1,1-(1-$E$11)^MIN(A21,Parametres!$B$81)*IF(A21&gt;Parametres!$B$81,PRODUCT(1)*(1-$E$11-Parametres!$B$82)^(A21-Parametres!$B$81),1))</f>
        <v>0.743307726875946</v>
      </c>
      <c r="D21" s="21" t="n">
        <f aca="false">ROUND(A21/(Parametres!$B$74*8),0)</f>
        <v>63</v>
      </c>
    </row>
    <row r="22" customFormat="false" ht="15" hidden="false" customHeight="true" outlineLevel="0" collapsed="false">
      <c r="A22" s="20" t="n">
        <v>60</v>
      </c>
      <c r="B22" s="104" t="n">
        <f aca="false">1-(1-$E$11)^A22</f>
        <v>0.715912531659797</v>
      </c>
      <c r="C22" s="23" t="n">
        <f aca="false">IF(A22&gt;=Parametres!$B$83,1,1-(1-$E$11)^MIN(A22,Parametres!$B$81)*IF(A22&gt;Parametres!$B$81,PRODUCT(1)*(1-$E$11-Parametres!$B$82)^(A22-Parametres!$B$81),1))</f>
        <v>1</v>
      </c>
      <c r="D22" s="21" t="n">
        <f aca="false">ROUND(A22/(Parametres!$B$74*8),0)</f>
        <v>75</v>
      </c>
    </row>
    <row r="23" customFormat="false" ht="15" hidden="false" customHeight="true" outlineLevel="0" collapsed="false">
      <c r="A23" s="20" t="n">
        <v>80</v>
      </c>
      <c r="B23" s="104" t="n">
        <f aca="false">1-(1-$E$11)^A23</f>
        <v>0.813246205176277</v>
      </c>
      <c r="C23" s="23" t="n">
        <f aca="false">IF(A23&gt;=Parametres!$B$83,1,1-(1-$E$11)^MIN(A23,Parametres!$B$81)*IF(A23&gt;Parametres!$B$81,PRODUCT(1)*(1-$E$11-Parametres!$B$82)^(A23-Parametres!$B$81),1))</f>
        <v>1</v>
      </c>
      <c r="D23" s="21" t="n">
        <f aca="false">ROUND(A23/(Parametres!$B$74*8),0)</f>
        <v>100</v>
      </c>
    </row>
    <row r="24" customFormat="false" ht="15" hidden="false" customHeight="true" outlineLevel="0" collapsed="false">
      <c r="A24" s="34" t="s">
        <v>610</v>
      </c>
    </row>
    <row r="26" customFormat="false" ht="15" hidden="false" customHeight="true" outlineLevel="0" collapsed="false">
      <c r="A26" s="6" t="s">
        <v>611</v>
      </c>
    </row>
    <row r="27" customFormat="false" ht="21.75" hidden="false" customHeight="true" outlineLevel="0" collapsed="false">
      <c r="A27" s="19" t="s">
        <v>612</v>
      </c>
      <c r="B27" s="19" t="s">
        <v>613</v>
      </c>
      <c r="C27" s="19" t="s">
        <v>614</v>
      </c>
    </row>
    <row r="28" customFormat="false" ht="15" hidden="false" customHeight="true" outlineLevel="0" collapsed="false">
      <c r="A28" s="20" t="n">
        <v>1</v>
      </c>
      <c r="B28" s="23" t="n">
        <f aca="false">IF(A28&gt;=Parametres!$B$83,1,MIN(1,$E$11+MAX(0,A28-Parametres!$B$81)*Parametres!$B$82))</f>
        <v>0.0207561156412157</v>
      </c>
      <c r="C28" s="58" t="str">
        <f aca="false">IF(A28&gt;=Parametres!$B$83,"GARANTI",IF(A28&gt;=Parametres!$B$81,"Pity doux actif","Taux de base"))</f>
        <v>Taux de base</v>
      </c>
    </row>
    <row r="29" customFormat="false" ht="15" hidden="false" customHeight="true" outlineLevel="0" collapsed="false">
      <c r="A29" s="20" t="n">
        <v>20</v>
      </c>
      <c r="B29" s="23" t="n">
        <f aca="false">IF(A29&gt;=Parametres!$B$83,1,MIN(1,$E$11+MAX(0,A29-Parametres!$B$81)*Parametres!$B$82))</f>
        <v>0.0207561156412157</v>
      </c>
      <c r="C29" s="58" t="str">
        <f aca="false">IF(A29&gt;=Parametres!$B$83,"GARANTI",IF(A29&gt;=Parametres!$B$81,"Pity doux actif","Taux de base"))</f>
        <v>Taux de base</v>
      </c>
    </row>
    <row r="30" customFormat="false" ht="15" hidden="false" customHeight="true" outlineLevel="0" collapsed="false">
      <c r="A30" s="20" t="n">
        <v>39</v>
      </c>
      <c r="B30" s="23" t="n">
        <f aca="false">IF(A30&gt;=Parametres!$B$83,1,MIN(1,$E$11+MAX(0,A30-Parametres!$B$81)*Parametres!$B$82))</f>
        <v>0.0207561156412157</v>
      </c>
      <c r="C30" s="58" t="str">
        <f aca="false">IF(A30&gt;=Parametres!$B$83,"GARANTI",IF(A30&gt;=Parametres!$B$81,"Pity doux actif","Taux de base"))</f>
        <v>Taux de base</v>
      </c>
    </row>
    <row r="31" customFormat="false" ht="15" hidden="false" customHeight="true" outlineLevel="0" collapsed="false">
      <c r="A31" s="20" t="n">
        <v>40</v>
      </c>
      <c r="B31" s="23" t="n">
        <f aca="false">IF(A31&gt;=Parametres!$B$83,1,MIN(1,$E$11+MAX(0,A31-Parametres!$B$81)*Parametres!$B$82))</f>
        <v>0.0207561156412157</v>
      </c>
      <c r="C31" s="58" t="str">
        <f aca="false">IF(A31&gt;=Parametres!$B$83,"GARANTI",IF(A31&gt;=Parametres!$B$81,"Pity doux actif","Taux de base"))</f>
        <v>Pity doux actif</v>
      </c>
    </row>
    <row r="32" customFormat="false" ht="15" hidden="false" customHeight="true" outlineLevel="0" collapsed="false">
      <c r="A32" s="20" t="n">
        <v>45</v>
      </c>
      <c r="B32" s="23" t="n">
        <f aca="false">IF(A32&gt;=Parametres!$B$83,1,MIN(1,$E$11+MAX(0,A32-Parametres!$B$81)*Parametres!$B$82))</f>
        <v>0.170756115641216</v>
      </c>
      <c r="C32" s="58" t="str">
        <f aca="false">IF(A32&gt;=Parametres!$B$83,"GARANTI",IF(A32&gt;=Parametres!$B$81,"Pity doux actif","Taux de base"))</f>
        <v>Pity doux actif</v>
      </c>
    </row>
    <row r="33" customFormat="false" ht="15" hidden="false" customHeight="true" outlineLevel="0" collapsed="false">
      <c r="A33" s="20" t="n">
        <v>50</v>
      </c>
      <c r="B33" s="23" t="n">
        <f aca="false">IF(A33&gt;=Parametres!$B$83,1,MIN(1,$E$11+MAX(0,A33-Parametres!$B$81)*Parametres!$B$82))</f>
        <v>0.320756115641216</v>
      </c>
      <c r="C33" s="58" t="str">
        <f aca="false">IF(A33&gt;=Parametres!$B$83,"GARANTI",IF(A33&gt;=Parametres!$B$81,"Pity doux actif","Taux de base"))</f>
        <v>Pity doux actif</v>
      </c>
    </row>
    <row r="34" customFormat="false" ht="15" hidden="false" customHeight="true" outlineLevel="0" collapsed="false">
      <c r="A34" s="20" t="n">
        <v>55</v>
      </c>
      <c r="B34" s="23" t="n">
        <f aca="false">IF(A34&gt;=Parametres!$B$83,1,MIN(1,$E$11+MAX(0,A34-Parametres!$B$81)*Parametres!$B$82))</f>
        <v>0.470756115641216</v>
      </c>
      <c r="C34" s="58" t="str">
        <f aca="false">IF(A34&gt;=Parametres!$B$83,"GARANTI",IF(A34&gt;=Parametres!$B$81,"Pity doux actif","Taux de base"))</f>
        <v>Pity doux actif</v>
      </c>
    </row>
    <row r="35" customFormat="false" ht="15" hidden="false" customHeight="true" outlineLevel="0" collapsed="false">
      <c r="A35" s="20" t="n">
        <v>59</v>
      </c>
      <c r="B35" s="23" t="n">
        <f aca="false">IF(A35&gt;=Parametres!$B$83,1,MIN(1,$E$11+MAX(0,A35-Parametres!$B$81)*Parametres!$B$82))</f>
        <v>0.590756115641216</v>
      </c>
      <c r="C35" s="58" t="str">
        <f aca="false">IF(A35&gt;=Parametres!$B$83,"GARANTI",IF(A35&gt;=Parametres!$B$81,"Pity doux actif","Taux de base"))</f>
        <v>Pity doux actif</v>
      </c>
    </row>
    <row r="36" customFormat="false" ht="15" hidden="false" customHeight="true" outlineLevel="0" collapsed="false">
      <c r="A36" s="20" t="n">
        <v>60</v>
      </c>
      <c r="B36" s="23" t="n">
        <f aca="false">IF(A36&gt;=Parametres!$B$83,1,MIN(1,$E$11+MAX(0,A36-Parametres!$B$81)*Parametres!$B$82))</f>
        <v>1</v>
      </c>
      <c r="C36" s="58" t="str">
        <f aca="false">IF(A36&gt;=Parametres!$B$83,"GARANTI",IF(A36&gt;=Parametres!$B$81,"Pity doux actif","Taux de base"))</f>
        <v>GARANTI</v>
      </c>
    </row>
    <row r="38" customFormat="false" ht="15" hidden="false" customHeight="true" outlineLevel="0" collapsed="false">
      <c r="A38" s="34" t="s">
        <v>615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30"/>
    <col collapsed="false" customWidth="true" hidden="false" outlineLevel="0" max="3" min="3" style="1" width="14"/>
    <col collapsed="false" customWidth="true" hidden="false" outlineLevel="0" max="4" min="4" style="1" width="42"/>
    <col collapsed="false" customWidth="true" hidden="false" outlineLevel="0" max="5" min="5" style="1" width="26"/>
  </cols>
  <sheetData>
    <row r="1" customFormat="false" ht="17.25" hidden="false" customHeight="true" outlineLevel="0" collapsed="false">
      <c r="A1" s="2" t="s">
        <v>616</v>
      </c>
    </row>
    <row r="2" customFormat="false" ht="15" hidden="false" customHeight="true" outlineLevel="0" collapsed="false">
      <c r="A2" s="18" t="s">
        <v>617</v>
      </c>
    </row>
    <row r="4" customFormat="false" ht="15" hidden="false" customHeight="true" outlineLevel="0" collapsed="false">
      <c r="A4" s="6" t="s">
        <v>618</v>
      </c>
    </row>
    <row r="5" customFormat="false" ht="15" hidden="false" customHeight="true" outlineLevel="0" collapsed="false">
      <c r="A5" s="4" t="s">
        <v>619</v>
      </c>
      <c r="B5" s="59" t="n">
        <v>4</v>
      </c>
    </row>
    <row r="6" customFormat="false" ht="15" hidden="false" customHeight="true" outlineLevel="0" collapsed="false">
      <c r="A6" s="4" t="s">
        <v>620</v>
      </c>
      <c r="B6" s="59" t="n">
        <v>5</v>
      </c>
    </row>
    <row r="7" customFormat="false" ht="15" hidden="false" customHeight="true" outlineLevel="0" collapsed="false">
      <c r="A7" s="4" t="s">
        <v>621</v>
      </c>
      <c r="B7" s="59" t="n">
        <v>3</v>
      </c>
    </row>
    <row r="8" customFormat="false" ht="15" hidden="false" customHeight="true" outlineLevel="0" collapsed="false">
      <c r="A8" s="4" t="s">
        <v>622</v>
      </c>
      <c r="B8" s="10" t="n">
        <v>1.5</v>
      </c>
    </row>
    <row r="10" customFormat="false" ht="15" hidden="false" customHeight="true" outlineLevel="0" collapsed="false">
      <c r="A10" s="6" t="s">
        <v>623</v>
      </c>
    </row>
    <row r="11" customFormat="false" ht="15" hidden="false" customHeight="true" outlineLevel="0" collapsed="false">
      <c r="A11" s="19" t="s">
        <v>624</v>
      </c>
      <c r="B11" s="19" t="s">
        <v>625</v>
      </c>
      <c r="C11" s="19" t="s">
        <v>626</v>
      </c>
      <c r="D11" s="19" t="s">
        <v>627</v>
      </c>
      <c r="E11" s="19" t="s">
        <v>628</v>
      </c>
    </row>
    <row r="12" customFormat="false" ht="15" hidden="false" customHeight="true" outlineLevel="0" collapsed="false">
      <c r="A12" s="96" t="s">
        <v>629</v>
      </c>
      <c r="B12" s="36" t="s">
        <v>630</v>
      </c>
      <c r="C12" s="105" t="n">
        <f aca="false">ROUND($B$6*Parametres!$B$63*55*(1+Parametres!$B$64*($B$7-1)),0)</f>
        <v>3300</v>
      </c>
      <c r="D12" s="94" t="n">
        <f aca="false">C12*4.345</f>
        <v>14338.5</v>
      </c>
      <c r="E12" s="8" t="s">
        <v>631</v>
      </c>
    </row>
    <row r="13" customFormat="false" ht="15" hidden="false" customHeight="true" outlineLevel="0" collapsed="false">
      <c r="A13" s="96" t="s">
        <v>411</v>
      </c>
      <c r="B13" s="36" t="s">
        <v>630</v>
      </c>
      <c r="C13" s="105" t="n">
        <f aca="false">ROUND($B$6*(Parametres!$B$65*Parametres!$B$51+Parametres!$B$66),0)</f>
        <v>75</v>
      </c>
      <c r="D13" s="94" t="n">
        <f aca="false">C13*4.345</f>
        <v>325.875</v>
      </c>
      <c r="E13" s="8" t="s">
        <v>632</v>
      </c>
    </row>
    <row r="14" customFormat="false" ht="15" hidden="false" customHeight="true" outlineLevel="0" collapsed="false">
      <c r="A14" s="96" t="s">
        <v>633</v>
      </c>
      <c r="B14" s="36" t="s">
        <v>634</v>
      </c>
      <c r="C14" s="105" t="n">
        <f aca="false">ROUND($B$8/4.345*(Parametres!$B$70+Parametres!$B$71),1)</f>
        <v>1.4</v>
      </c>
      <c r="D14" s="94" t="n">
        <f aca="false">C14*4.345</f>
        <v>6.083</v>
      </c>
      <c r="E14" s="8" t="s">
        <v>635</v>
      </c>
    </row>
    <row r="17" customFormat="false" ht="15" hidden="false" customHeight="true" outlineLevel="0" collapsed="false">
      <c r="A17" s="6" t="s">
        <v>636</v>
      </c>
    </row>
    <row r="18" customFormat="false" ht="15" hidden="false" customHeight="true" outlineLevel="0" collapsed="false">
      <c r="A18" s="19" t="s">
        <v>637</v>
      </c>
      <c r="B18" s="19" t="s">
        <v>624</v>
      </c>
      <c r="C18" s="19" t="s">
        <v>638</v>
      </c>
      <c r="D18" s="19" t="s">
        <v>639</v>
      </c>
      <c r="E18" s="19" t="s">
        <v>640</v>
      </c>
    </row>
    <row r="19" customFormat="false" ht="15" hidden="false" customHeight="true" outlineLevel="0" collapsed="false">
      <c r="A19" s="20" t="s">
        <v>641</v>
      </c>
      <c r="B19" s="36" t="s">
        <v>629</v>
      </c>
      <c r="C19" s="21" t="n">
        <f aca="false">Parametres!$B$67</f>
        <v>3000</v>
      </c>
      <c r="D19" s="8" t="s">
        <v>642</v>
      </c>
      <c r="E19" s="94" t="n">
        <f aca="false">C19/$C$12</f>
        <v>0.909090909090909</v>
      </c>
    </row>
    <row r="20" customFormat="false" ht="15" hidden="false" customHeight="true" outlineLevel="0" collapsed="false">
      <c r="A20" s="20" t="s">
        <v>643</v>
      </c>
      <c r="B20" s="36" t="s">
        <v>411</v>
      </c>
      <c r="C20" s="21" t="n">
        <f aca="false">Parametres!$B$68</f>
        <v>40</v>
      </c>
      <c r="D20" s="8" t="s">
        <v>644</v>
      </c>
      <c r="E20" s="94" t="n">
        <f aca="false">C20/$C$13</f>
        <v>0.533333333333333</v>
      </c>
    </row>
    <row r="21" customFormat="false" ht="15" hidden="false" customHeight="true" outlineLevel="0" collapsed="false">
      <c r="A21" s="20" t="s">
        <v>645</v>
      </c>
      <c r="B21" s="36" t="s">
        <v>411</v>
      </c>
      <c r="C21" s="21" t="n">
        <f aca="false">ROUND(Parametres!$B$68*Parametres!$B$69^4,0)</f>
        <v>133</v>
      </c>
      <c r="D21" s="8" t="s">
        <v>646</v>
      </c>
      <c r="E21" s="94" t="n">
        <f aca="false">C21/$C$13</f>
        <v>1.77333333333333</v>
      </c>
    </row>
    <row r="22" customFormat="false" ht="15" hidden="false" customHeight="true" outlineLevel="0" collapsed="false">
      <c r="A22" s="20" t="s">
        <v>647</v>
      </c>
      <c r="B22" s="36" t="s">
        <v>411</v>
      </c>
      <c r="C22" s="21" t="n">
        <f aca="false">ROUND(Parametres!$B$68*Parametres!$B$69^9,0)</f>
        <v>596</v>
      </c>
      <c r="D22" s="8" t="s">
        <v>648</v>
      </c>
      <c r="E22" s="94" t="n">
        <f aca="false">C22/$C$13</f>
        <v>7.94666666666667</v>
      </c>
    </row>
    <row r="23" customFormat="false" ht="15" hidden="false" customHeight="true" outlineLevel="0" collapsed="false">
      <c r="A23" s="20" t="s">
        <v>649</v>
      </c>
      <c r="B23" s="36" t="s">
        <v>633</v>
      </c>
      <c r="C23" s="21" t="n">
        <f aca="false">Equipement!$D$33</f>
        <v>5</v>
      </c>
      <c r="D23" s="8" t="s">
        <v>650</v>
      </c>
      <c r="E23" s="94" t="n">
        <f aca="false">C23/$C$14</f>
        <v>3.57142857142857</v>
      </c>
    </row>
    <row r="24" customFormat="false" ht="15" hidden="false" customHeight="true" outlineLevel="0" collapsed="false">
      <c r="A24" s="20" t="s">
        <v>651</v>
      </c>
      <c r="B24" s="36" t="s">
        <v>633</v>
      </c>
      <c r="C24" s="21" t="n">
        <f aca="false">Equipement!$E$42</f>
        <v>143</v>
      </c>
      <c r="D24" s="8" t="s">
        <v>652</v>
      </c>
      <c r="E24" s="94" t="n">
        <f aca="false">C24/$C$14</f>
        <v>102.142857142857</v>
      </c>
    </row>
    <row r="25" customFormat="false" ht="15" hidden="false" customHeight="true" outlineLevel="0" collapsed="false">
      <c r="A25" s="20" t="s">
        <v>653</v>
      </c>
      <c r="B25" s="36" t="s">
        <v>633</v>
      </c>
      <c r="C25" s="106" t="n">
        <v>20</v>
      </c>
      <c r="D25" s="8" t="s">
        <v>654</v>
      </c>
      <c r="E25" s="94" t="n">
        <f aca="false">C25/$C$14</f>
        <v>14.2857142857143</v>
      </c>
    </row>
    <row r="27" customFormat="false" ht="15" hidden="false" customHeight="true" outlineLevel="0" collapsed="false">
      <c r="A27" s="6" t="s">
        <v>655</v>
      </c>
    </row>
    <row r="28" customFormat="false" ht="15" hidden="false" customHeight="true" outlineLevel="0" collapsed="false">
      <c r="A28" s="4" t="s">
        <v>656</v>
      </c>
      <c r="B28" s="36" t="s">
        <v>657</v>
      </c>
    </row>
    <row r="29" customFormat="false" ht="15" hidden="false" customHeight="true" outlineLevel="0" collapsed="false">
      <c r="A29" s="4" t="s">
        <v>658</v>
      </c>
      <c r="B29" s="36" t="s">
        <v>659</v>
      </c>
    </row>
    <row r="30" customFormat="false" ht="15" hidden="false" customHeight="true" outlineLevel="0" collapsed="false">
      <c r="A30" s="4" t="s">
        <v>660</v>
      </c>
      <c r="B30" s="36" t="s">
        <v>661</v>
      </c>
    </row>
    <row r="31" customFormat="false" ht="15" hidden="false" customHeight="true" outlineLevel="0" collapsed="false">
      <c r="A31" s="4" t="s">
        <v>662</v>
      </c>
      <c r="B31" s="36" t="s">
        <v>663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3"/>
    <col collapsed="false" customWidth="true" hidden="false" outlineLevel="0" max="4" min="3" style="1" width="11"/>
    <col collapsed="false" customWidth="true" hidden="false" outlineLevel="0" max="5" min="5" style="1" width="12"/>
    <col collapsed="false" customWidth="true" hidden="false" outlineLevel="0" max="6" min="6" style="1" width="13"/>
    <col collapsed="false" customWidth="true" hidden="false" outlineLevel="0" max="7" min="7" style="1" width="9"/>
    <col collapsed="false" customWidth="true" hidden="false" outlineLevel="0" max="9" min="8" style="1" width="11"/>
    <col collapsed="false" customWidth="true" hidden="false" outlineLevel="0" max="11" min="10" style="1" width="12"/>
    <col collapsed="false" customWidth="true" hidden="false" outlineLevel="0" max="12" min="12" style="1" width="26"/>
  </cols>
  <sheetData>
    <row r="1" customFormat="false" ht="17.25" hidden="false" customHeight="true" outlineLevel="0" collapsed="false">
      <c r="A1" s="2" t="s">
        <v>664</v>
      </c>
    </row>
    <row r="2" customFormat="false" ht="15" hidden="false" customHeight="true" outlineLevel="0" collapsed="false">
      <c r="A2" s="18" t="s">
        <v>665</v>
      </c>
    </row>
    <row r="4" customFormat="false" ht="15" hidden="false" customHeight="true" outlineLevel="0" collapsed="false">
      <c r="A4" s="6" t="s">
        <v>666</v>
      </c>
    </row>
    <row r="5" customFormat="false" ht="15" hidden="false" customHeight="true" outlineLevel="0" collapsed="false">
      <c r="A5" s="4" t="s">
        <v>619</v>
      </c>
      <c r="B5" s="10" t="n">
        <v>4</v>
      </c>
      <c r="D5" s="8" t="s">
        <v>667</v>
      </c>
    </row>
    <row r="6" customFormat="false" ht="15" hidden="false" customHeight="true" outlineLevel="0" collapsed="false">
      <c r="A6" s="4" t="s">
        <v>668</v>
      </c>
      <c r="B6" s="107" t="n">
        <v>20000</v>
      </c>
    </row>
    <row r="7" customFormat="false" ht="15" hidden="false" customHeight="true" outlineLevel="0" collapsed="false">
      <c r="A7" s="4" t="s">
        <v>669</v>
      </c>
      <c r="B7" s="10" t="n">
        <v>0.4</v>
      </c>
    </row>
    <row r="8" customFormat="false" ht="15" hidden="false" customHeight="true" outlineLevel="0" collapsed="false">
      <c r="A8" s="4" t="s">
        <v>670</v>
      </c>
      <c r="B8" s="12" t="n">
        <v>0.5</v>
      </c>
      <c r="D8" s="8" t="s">
        <v>671</v>
      </c>
    </row>
    <row r="9" customFormat="false" ht="15" hidden="false" customHeight="true" outlineLevel="0" collapsed="false">
      <c r="A9" s="4" t="s">
        <v>672</v>
      </c>
      <c r="B9" s="9" t="n">
        <v>0.98</v>
      </c>
    </row>
    <row r="10" customFormat="false" ht="15" hidden="false" customHeight="true" outlineLevel="0" collapsed="false">
      <c r="A10" s="4" t="s">
        <v>673</v>
      </c>
      <c r="B10" s="59" t="n">
        <v>5</v>
      </c>
    </row>
    <row r="11" customFormat="false" ht="15" hidden="false" customHeight="true" outlineLevel="0" collapsed="false">
      <c r="A11" s="4" t="s">
        <v>674</v>
      </c>
      <c r="B11" s="11" t="n">
        <v>0.008</v>
      </c>
      <c r="D11" s="8" t="s">
        <v>675</v>
      </c>
    </row>
    <row r="12" customFormat="false" ht="21.75" hidden="false" customHeight="true" outlineLevel="0" collapsed="false">
      <c r="A12" s="19" t="s">
        <v>676</v>
      </c>
      <c r="B12" s="19" t="s">
        <v>677</v>
      </c>
      <c r="C12" s="19" t="s">
        <v>678</v>
      </c>
      <c r="D12" s="19" t="s">
        <v>679</v>
      </c>
      <c r="E12" s="19" t="s">
        <v>680</v>
      </c>
      <c r="F12" s="19" t="s">
        <v>290</v>
      </c>
      <c r="G12" s="19" t="s">
        <v>288</v>
      </c>
      <c r="H12" s="19" t="s">
        <v>293</v>
      </c>
      <c r="I12" s="19" t="s">
        <v>681</v>
      </c>
      <c r="J12" s="19" t="s">
        <v>682</v>
      </c>
      <c r="K12" s="19" t="s">
        <v>683</v>
      </c>
      <c r="L12" s="19" t="s">
        <v>297</v>
      </c>
    </row>
    <row r="13" customFormat="false" ht="15" hidden="false" customHeight="true" outlineLevel="0" collapsed="false">
      <c r="A13" s="20" t="n">
        <v>1</v>
      </c>
      <c r="B13" s="21" t="n">
        <f aca="false">ROUND($B$5*(Parametres!$B$5+$B$6*MIN(2,(1+$B$11)^(A13-1))/Parametres!$B$6+$B$7*Parametres!$B$7),0)</f>
        <v>640</v>
      </c>
      <c r="C13" s="57" t="n">
        <f aca="false">1+$B$8*(Parametres!$B$28+Parametres!$B$29+Parametres!$B$30)</f>
        <v>1.085</v>
      </c>
      <c r="D13" s="57" t="n">
        <f aca="false">MIN(1+Parametres!$B$47*A13,1+Parametres!$B$48)</f>
        <v>1.02</v>
      </c>
      <c r="E13" s="22" t="n">
        <f aca="false">ROUND(B13*C13*D13*$B$9,0)</f>
        <v>694</v>
      </c>
      <c r="F13" s="22" t="n">
        <f aca="false">E13</f>
        <v>694</v>
      </c>
      <c r="G13" s="108" t="n">
        <f aca="false">MATCH(F13,Progression!$C$5:$C$54,1)</f>
        <v>4</v>
      </c>
      <c r="H13" s="21" t="n">
        <f aca="false">INDEX(Progression!$I$5:$I$54,G13)</f>
        <v>9</v>
      </c>
      <c r="I13" s="52" t="n">
        <f aca="false">IF(G13&lt;Donjon!$B$42,0,MATCH(G13,Donjon!$B$42:$B$53,1))</f>
        <v>0</v>
      </c>
      <c r="J13" s="21" t="n">
        <f aca="false">ROUND(IF(I13=0,0,$B$10*Parametres!$B$63*55*(1+Parametres!$B$64*(I13-1))),0)</f>
        <v>0</v>
      </c>
      <c r="K13" s="21" t="n">
        <f aca="false">ROUND(IF(I13=0,0,$B$10*(Parametres!$B$65*Parametres!$B$51+Parametres!$B$66)),0)</f>
        <v>0</v>
      </c>
      <c r="L13" s="26" t="s">
        <v>684</v>
      </c>
    </row>
    <row r="14" customFormat="false" ht="15" hidden="false" customHeight="true" outlineLevel="0" collapsed="false">
      <c r="A14" s="27" t="n">
        <v>2</v>
      </c>
      <c r="B14" s="28" t="n">
        <f aca="false">ROUND($B$5*(Parametres!$B$5+$B$6*MIN(2,(1+$B$11)^(A14-1))/Parametres!$B$6+$B$7*Parametres!$B$7),0)</f>
        <v>643</v>
      </c>
      <c r="C14" s="109" t="n">
        <f aca="false">1+$B$8*(Parametres!$B$28+Parametres!$B$29+Parametres!$B$30)</f>
        <v>1.085</v>
      </c>
      <c r="D14" s="109" t="n">
        <f aca="false">MIN(1+Parametres!$B$47*A14,1+Parametres!$B$48)</f>
        <v>1.04</v>
      </c>
      <c r="E14" s="29" t="n">
        <f aca="false">ROUND(B14*C14*D14*$B$9,0)</f>
        <v>711</v>
      </c>
      <c r="F14" s="29" t="n">
        <f aca="false">F13+E14</f>
        <v>1405</v>
      </c>
      <c r="G14" s="110" t="n">
        <f aca="false">MATCH(F14,Progression!$C$5:$C$54,1)</f>
        <v>5</v>
      </c>
      <c r="H14" s="28" t="n">
        <f aca="false">INDEX(Progression!$I$5:$I$54,G14)</f>
        <v>13</v>
      </c>
      <c r="I14" s="111" t="n">
        <f aca="false">IF(G14&lt;Donjon!$B$42,0,MATCH(G14,Donjon!$B$42:$B$53,1))</f>
        <v>0</v>
      </c>
      <c r="J14" s="28" t="n">
        <f aca="false">J13+ROUND(IF(I14=0,0,$B$10*Parametres!$B$63*55*(1+Parametres!$B$64*(I14-1))),0)</f>
        <v>0</v>
      </c>
      <c r="K14" s="28" t="n">
        <f aca="false">K13+ROUND(IF(I14=0,0,$B$10*(Parametres!$B$65*Parametres!$B$51+Parametres!$B$66)),0)</f>
        <v>0</v>
      </c>
      <c r="L14" s="33"/>
    </row>
    <row r="15" customFormat="false" ht="15" hidden="false" customHeight="true" outlineLevel="0" collapsed="false">
      <c r="A15" s="20" t="n">
        <v>3</v>
      </c>
      <c r="B15" s="21" t="n">
        <f aca="false">ROUND($B$5*(Parametres!$B$5+$B$6*MIN(2,(1+$B$11)^(A15-1))/Parametres!$B$6+$B$7*Parametres!$B$7),0)</f>
        <v>646</v>
      </c>
      <c r="C15" s="57" t="n">
        <f aca="false">1+$B$8*(Parametres!$B$28+Parametres!$B$29+Parametres!$B$30)</f>
        <v>1.085</v>
      </c>
      <c r="D15" s="57" t="n">
        <f aca="false">MIN(1+Parametres!$B$47*A15,1+Parametres!$B$48)</f>
        <v>1.06</v>
      </c>
      <c r="E15" s="22" t="n">
        <f aca="false">ROUND(B15*C15*D15*$B$9,0)</f>
        <v>728</v>
      </c>
      <c r="F15" s="22" t="n">
        <f aca="false">F14+E15</f>
        <v>2133</v>
      </c>
      <c r="G15" s="108" t="n">
        <f aca="false">MATCH(F15,Progression!$C$5:$C$54,1)</f>
        <v>6</v>
      </c>
      <c r="H15" s="21" t="n">
        <f aca="false">INDEX(Progression!$I$5:$I$54,G15)</f>
        <v>17</v>
      </c>
      <c r="I15" s="52" t="n">
        <f aca="false">IF(G15&lt;Donjon!$B$42,0,MATCH(G15,Donjon!$B$42:$B$53,1))</f>
        <v>1</v>
      </c>
      <c r="J15" s="21" t="n">
        <f aca="false">J14+ROUND(IF(I15=0,0,$B$10*Parametres!$B$63*55*(1+Parametres!$B$64*(I15-1))),0)</f>
        <v>2750</v>
      </c>
      <c r="K15" s="21" t="n">
        <f aca="false">K14+ROUND(IF(I15=0,0,$B$10*(Parametres!$B$65*Parametres!$B$51+Parametres!$B$66)),0)</f>
        <v>75</v>
      </c>
      <c r="L15" s="34"/>
    </row>
    <row r="16" customFormat="false" ht="15" hidden="false" customHeight="true" outlineLevel="0" collapsed="false">
      <c r="A16" s="27" t="n">
        <v>4</v>
      </c>
      <c r="B16" s="28" t="n">
        <f aca="false">ROUND($B$5*(Parametres!$B$5+$B$6*MIN(2,(1+$B$11)^(A16-1))/Parametres!$B$6+$B$7*Parametres!$B$7),0)</f>
        <v>650</v>
      </c>
      <c r="C16" s="109" t="n">
        <f aca="false">1+$B$8*(Parametres!$B$28+Parametres!$B$29+Parametres!$B$30)</f>
        <v>1.085</v>
      </c>
      <c r="D16" s="109" t="n">
        <f aca="false">MIN(1+Parametres!$B$47*A16,1+Parametres!$B$48)</f>
        <v>1.08</v>
      </c>
      <c r="E16" s="29" t="n">
        <f aca="false">ROUND(B16*C16*D16*$B$9,0)</f>
        <v>746</v>
      </c>
      <c r="F16" s="29" t="n">
        <f aca="false">F15+E16</f>
        <v>2879</v>
      </c>
      <c r="G16" s="110" t="n">
        <f aca="false">MATCH(F16,Progression!$C$5:$C$54,1)</f>
        <v>7</v>
      </c>
      <c r="H16" s="28" t="n">
        <f aca="false">INDEX(Progression!$I$5:$I$54,G16)</f>
        <v>21</v>
      </c>
      <c r="I16" s="111" t="n">
        <f aca="false">IF(G16&lt;Donjon!$B$42,0,MATCH(G16,Donjon!$B$42:$B$53,1))</f>
        <v>2</v>
      </c>
      <c r="J16" s="28" t="n">
        <f aca="false">J15+ROUND(IF(I16=0,0,$B$10*Parametres!$B$63*55*(1+Parametres!$B$64*(I16-1))),0)</f>
        <v>5775</v>
      </c>
      <c r="K16" s="28" t="n">
        <f aca="false">K15+ROUND(IF(I16=0,0,$B$10*(Parametres!$B$65*Parametres!$B$51+Parametres!$B$66)),0)</f>
        <v>150</v>
      </c>
      <c r="L16" s="35" t="s">
        <v>685</v>
      </c>
    </row>
    <row r="17" customFormat="false" ht="15" hidden="false" customHeight="true" outlineLevel="0" collapsed="false">
      <c r="A17" s="20" t="n">
        <v>5</v>
      </c>
      <c r="B17" s="21" t="n">
        <f aca="false">ROUND($B$5*(Parametres!$B$5+$B$6*MIN(2,(1+$B$11)^(A17-1))/Parametres!$B$6+$B$7*Parametres!$B$7),0)</f>
        <v>653</v>
      </c>
      <c r="C17" s="57" t="n">
        <f aca="false">1+$B$8*(Parametres!$B$28+Parametres!$B$29+Parametres!$B$30)</f>
        <v>1.085</v>
      </c>
      <c r="D17" s="57" t="n">
        <f aca="false">MIN(1+Parametres!$B$47*A17,1+Parametres!$B$48)</f>
        <v>1.1</v>
      </c>
      <c r="E17" s="22" t="n">
        <f aca="false">ROUND(B17*C17*D17*$B$9,0)</f>
        <v>764</v>
      </c>
      <c r="F17" s="22" t="n">
        <f aca="false">F16+E17</f>
        <v>3643</v>
      </c>
      <c r="G17" s="108" t="n">
        <f aca="false">MATCH(F17,Progression!$C$5:$C$54,1)</f>
        <v>8</v>
      </c>
      <c r="H17" s="21" t="n">
        <f aca="false">INDEX(Progression!$I$5:$I$54,G17)</f>
        <v>25</v>
      </c>
      <c r="I17" s="52" t="n">
        <f aca="false">IF(G17&lt;Donjon!$B$42,0,MATCH(G17,Donjon!$B$42:$B$53,1))</f>
        <v>3</v>
      </c>
      <c r="J17" s="21" t="n">
        <f aca="false">J16+ROUND(IF(I17=0,0,$B$10*Parametres!$B$63*55*(1+Parametres!$B$64*(I17-1))),0)</f>
        <v>9075</v>
      </c>
      <c r="K17" s="21" t="n">
        <f aca="false">K16+ROUND(IF(I17=0,0,$B$10*(Parametres!$B$65*Parametres!$B$51+Parametres!$B$66)),0)</f>
        <v>225</v>
      </c>
      <c r="L17" s="34"/>
    </row>
    <row r="18" customFormat="false" ht="15" hidden="false" customHeight="true" outlineLevel="0" collapsed="false">
      <c r="A18" s="27" t="n">
        <v>6</v>
      </c>
      <c r="B18" s="28" t="n">
        <f aca="false">ROUND($B$5*(Parametres!$B$5+$B$6*MIN(2,(1+$B$11)^(A18-1))/Parametres!$B$6+$B$7*Parametres!$B$7),0)</f>
        <v>656</v>
      </c>
      <c r="C18" s="109" t="n">
        <f aca="false">1+$B$8*(Parametres!$B$28+Parametres!$B$29+Parametres!$B$30)</f>
        <v>1.085</v>
      </c>
      <c r="D18" s="109" t="n">
        <f aca="false">MIN(1+Parametres!$B$47*A18,1+Parametres!$B$48)</f>
        <v>1.12</v>
      </c>
      <c r="E18" s="29" t="n">
        <f aca="false">ROUND(B18*C18*D18*$B$9,0)</f>
        <v>781</v>
      </c>
      <c r="F18" s="29" t="n">
        <f aca="false">F17+E18</f>
        <v>4424</v>
      </c>
      <c r="G18" s="110" t="n">
        <f aca="false">MATCH(F18,Progression!$C$5:$C$54,1)</f>
        <v>9</v>
      </c>
      <c r="H18" s="28" t="n">
        <f aca="false">INDEX(Progression!$I$5:$I$54,G18)</f>
        <v>29</v>
      </c>
      <c r="I18" s="111" t="n">
        <f aca="false">IF(G18&lt;Donjon!$B$42,0,MATCH(G18,Donjon!$B$42:$B$53,1))</f>
        <v>3</v>
      </c>
      <c r="J18" s="28" t="n">
        <f aca="false">J17+ROUND(IF(I18=0,0,$B$10*Parametres!$B$63*55*(1+Parametres!$B$64*(I18-1))),0)</f>
        <v>12375</v>
      </c>
      <c r="K18" s="28" t="n">
        <f aca="false">K17+ROUND(IF(I18=0,0,$B$10*(Parametres!$B$65*Parametres!$B$51+Parametres!$B$66)),0)</f>
        <v>300</v>
      </c>
      <c r="L18" s="33"/>
    </row>
    <row r="19" customFormat="false" ht="15" hidden="false" customHeight="true" outlineLevel="0" collapsed="false">
      <c r="A19" s="20" t="n">
        <v>7</v>
      </c>
      <c r="B19" s="21" t="n">
        <f aca="false">ROUND($B$5*(Parametres!$B$5+$B$6*MIN(2,(1+$B$11)^(A19-1))/Parametres!$B$6+$B$7*Parametres!$B$7),0)</f>
        <v>660</v>
      </c>
      <c r="C19" s="57" t="n">
        <f aca="false">1+$B$8*(Parametres!$B$28+Parametres!$B$29+Parametres!$B$30)</f>
        <v>1.085</v>
      </c>
      <c r="D19" s="57" t="n">
        <f aca="false">MIN(1+Parametres!$B$47*A19,1+Parametres!$B$48)</f>
        <v>1.14</v>
      </c>
      <c r="E19" s="22" t="n">
        <f aca="false">ROUND(B19*C19*D19*$B$9,0)</f>
        <v>800</v>
      </c>
      <c r="F19" s="22" t="n">
        <f aca="false">F18+E19</f>
        <v>5224</v>
      </c>
      <c r="G19" s="108" t="n">
        <f aca="false">MATCH(F19,Progression!$C$5:$C$54,1)</f>
        <v>9</v>
      </c>
      <c r="H19" s="21" t="n">
        <f aca="false">INDEX(Progression!$I$5:$I$54,G19)</f>
        <v>29</v>
      </c>
      <c r="I19" s="52" t="n">
        <f aca="false">IF(G19&lt;Donjon!$B$42,0,MATCH(G19,Donjon!$B$42:$B$53,1))</f>
        <v>3</v>
      </c>
      <c r="J19" s="21" t="n">
        <f aca="false">J18+ROUND(IF(I19=0,0,$B$10*Parametres!$B$63*55*(1+Parametres!$B$64*(I19-1))),0)</f>
        <v>15675</v>
      </c>
      <c r="K19" s="21" t="n">
        <f aca="false">K18+ROUND(IF(I19=0,0,$B$10*(Parametres!$B$65*Parametres!$B$51+Parametres!$B$66)),0)</f>
        <v>375</v>
      </c>
      <c r="L19" s="34"/>
    </row>
    <row r="20" customFormat="false" ht="15" hidden="false" customHeight="true" outlineLevel="0" collapsed="false">
      <c r="A20" s="27" t="n">
        <v>8</v>
      </c>
      <c r="B20" s="28" t="n">
        <f aca="false">ROUND($B$5*(Parametres!$B$5+$B$6*MIN(2,(1+$B$11)^(A20-1))/Parametres!$B$6+$B$7*Parametres!$B$7),0)</f>
        <v>663</v>
      </c>
      <c r="C20" s="109" t="n">
        <f aca="false">1+$B$8*(Parametres!$B$28+Parametres!$B$29+Parametres!$B$30)</f>
        <v>1.085</v>
      </c>
      <c r="D20" s="109" t="n">
        <f aca="false">MIN(1+Parametres!$B$47*A20,1+Parametres!$B$48)</f>
        <v>1.16</v>
      </c>
      <c r="E20" s="29" t="n">
        <f aca="false">ROUND(B20*C20*D20*$B$9,0)</f>
        <v>818</v>
      </c>
      <c r="F20" s="29" t="n">
        <f aca="false">F19+E20</f>
        <v>6042</v>
      </c>
      <c r="G20" s="110" t="n">
        <f aca="false">MATCH(F20,Progression!$C$5:$C$54,1)</f>
        <v>10</v>
      </c>
      <c r="H20" s="28" t="n">
        <f aca="false">INDEX(Progression!$I$5:$I$54,G20)</f>
        <v>34</v>
      </c>
      <c r="I20" s="111" t="n">
        <f aca="false">IF(G20&lt;Donjon!$B$42,0,MATCH(G20,Donjon!$B$42:$B$53,1))</f>
        <v>4</v>
      </c>
      <c r="J20" s="28" t="n">
        <f aca="false">J19+ROUND(IF(I20=0,0,$B$10*Parametres!$B$63*55*(1+Parametres!$B$64*(I20-1))),0)</f>
        <v>19250</v>
      </c>
      <c r="K20" s="28" t="n">
        <f aca="false">K19+ROUND(IF(I20=0,0,$B$10*(Parametres!$B$65*Parametres!$B$51+Parametres!$B$66)),0)</f>
        <v>450</v>
      </c>
      <c r="L20" s="33"/>
    </row>
    <row r="21" customFormat="false" ht="15" hidden="false" customHeight="true" outlineLevel="0" collapsed="false">
      <c r="A21" s="20" t="n">
        <v>9</v>
      </c>
      <c r="B21" s="21" t="n">
        <f aca="false">ROUND($B$5*(Parametres!$B$5+$B$6*MIN(2,(1+$B$11)^(A21-1))/Parametres!$B$6+$B$7*Parametres!$B$7),0)</f>
        <v>666</v>
      </c>
      <c r="C21" s="57" t="n">
        <f aca="false">1+$B$8*(Parametres!$B$28+Parametres!$B$29+Parametres!$B$30)</f>
        <v>1.085</v>
      </c>
      <c r="D21" s="57" t="n">
        <f aca="false">MIN(1+Parametres!$B$47*A21,1+Parametres!$B$48)</f>
        <v>1.18</v>
      </c>
      <c r="E21" s="22" t="n">
        <f aca="false">ROUND(B21*C21*D21*$B$9,0)</f>
        <v>836</v>
      </c>
      <c r="F21" s="22" t="n">
        <f aca="false">F20+E21</f>
        <v>6878</v>
      </c>
      <c r="G21" s="108" t="n">
        <f aca="false">MATCH(F21,Progression!$C$5:$C$54,1)</f>
        <v>10</v>
      </c>
      <c r="H21" s="21" t="n">
        <f aca="false">INDEX(Progression!$I$5:$I$54,G21)</f>
        <v>34</v>
      </c>
      <c r="I21" s="52" t="n">
        <f aca="false">IF(G21&lt;Donjon!$B$42,0,MATCH(G21,Donjon!$B$42:$B$53,1))</f>
        <v>4</v>
      </c>
      <c r="J21" s="21" t="n">
        <f aca="false">J20+ROUND(IF(I21=0,0,$B$10*Parametres!$B$63*55*(1+Parametres!$B$64*(I21-1))),0)</f>
        <v>22825</v>
      </c>
      <c r="K21" s="21" t="n">
        <f aca="false">K20+ROUND(IF(I21=0,0,$B$10*(Parametres!$B$65*Parametres!$B$51+Parametres!$B$66)),0)</f>
        <v>525</v>
      </c>
      <c r="L21" s="34"/>
    </row>
    <row r="22" customFormat="false" ht="15" hidden="false" customHeight="true" outlineLevel="0" collapsed="false">
      <c r="A22" s="27" t="n">
        <v>10</v>
      </c>
      <c r="B22" s="28" t="n">
        <f aca="false">ROUND($B$5*(Parametres!$B$5+$B$6*MIN(2,(1+$B$11)^(A22-1))/Parametres!$B$6+$B$7*Parametres!$B$7),0)</f>
        <v>670</v>
      </c>
      <c r="C22" s="109" t="n">
        <f aca="false">1+$B$8*(Parametres!$B$28+Parametres!$B$29+Parametres!$B$30)</f>
        <v>1.085</v>
      </c>
      <c r="D22" s="109" t="n">
        <f aca="false">MIN(1+Parametres!$B$47*A22,1+Parametres!$B$48)</f>
        <v>1.2</v>
      </c>
      <c r="E22" s="29" t="n">
        <f aca="false">ROUND(B22*C22*D22*$B$9,0)</f>
        <v>855</v>
      </c>
      <c r="F22" s="29" t="n">
        <f aca="false">F21+E22</f>
        <v>7733</v>
      </c>
      <c r="G22" s="110" t="n">
        <f aca="false">MATCH(F22,Progression!$C$5:$C$54,1)</f>
        <v>11</v>
      </c>
      <c r="H22" s="28" t="n">
        <f aca="false">INDEX(Progression!$I$5:$I$54,G22)</f>
        <v>39</v>
      </c>
      <c r="I22" s="111" t="n">
        <f aca="false">IF(G22&lt;Donjon!$B$42,0,MATCH(G22,Donjon!$B$42:$B$53,1))</f>
        <v>5</v>
      </c>
      <c r="J22" s="28" t="n">
        <f aca="false">J21+ROUND(IF(I22=0,0,$B$10*Parametres!$B$63*55*(1+Parametres!$B$64*(I22-1))),0)</f>
        <v>26675</v>
      </c>
      <c r="K22" s="28" t="n">
        <f aca="false">K21+ROUND(IF(I22=0,0,$B$10*(Parametres!$B$65*Parametres!$B$51+Parametres!$B$66)),0)</f>
        <v>600</v>
      </c>
      <c r="L22" s="33"/>
    </row>
    <row r="23" customFormat="false" ht="15" hidden="false" customHeight="true" outlineLevel="0" collapsed="false">
      <c r="A23" s="20" t="n">
        <v>11</v>
      </c>
      <c r="B23" s="21" t="n">
        <f aca="false">ROUND($B$5*(Parametres!$B$5+$B$6*MIN(2,(1+$B$11)^(A23-1))/Parametres!$B$6+$B$7*Parametres!$B$7),0)</f>
        <v>673</v>
      </c>
      <c r="C23" s="57" t="n">
        <f aca="false">1+$B$8*(Parametres!$B$28+Parametres!$B$29+Parametres!$B$30)</f>
        <v>1.085</v>
      </c>
      <c r="D23" s="57" t="n">
        <f aca="false">MIN(1+Parametres!$B$47*A23,1+Parametres!$B$48)</f>
        <v>1.2</v>
      </c>
      <c r="E23" s="22" t="n">
        <f aca="false">ROUND(B23*C23*D23*$B$9,0)</f>
        <v>859</v>
      </c>
      <c r="F23" s="22" t="n">
        <f aca="false">F22+E23</f>
        <v>8592</v>
      </c>
      <c r="G23" s="108" t="n">
        <f aca="false">MATCH(F23,Progression!$C$5:$C$54,1)</f>
        <v>11</v>
      </c>
      <c r="H23" s="21" t="n">
        <f aca="false">INDEX(Progression!$I$5:$I$54,G23)</f>
        <v>39</v>
      </c>
      <c r="I23" s="52" t="n">
        <f aca="false">IF(G23&lt;Donjon!$B$42,0,MATCH(G23,Donjon!$B$42:$B$53,1))</f>
        <v>5</v>
      </c>
      <c r="J23" s="21" t="n">
        <f aca="false">J22+ROUND(IF(I23=0,0,$B$10*Parametres!$B$63*55*(1+Parametres!$B$64*(I23-1))),0)</f>
        <v>30525</v>
      </c>
      <c r="K23" s="21" t="n">
        <f aca="false">K22+ROUND(IF(I23=0,0,$B$10*(Parametres!$B$65*Parametres!$B$51+Parametres!$B$66)),0)</f>
        <v>675</v>
      </c>
      <c r="L23" s="34"/>
    </row>
    <row r="24" customFormat="false" ht="15" hidden="false" customHeight="true" outlineLevel="0" collapsed="false">
      <c r="A24" s="27" t="n">
        <v>12</v>
      </c>
      <c r="B24" s="28" t="n">
        <f aca="false">ROUND($B$5*(Parametres!$B$5+$B$6*MIN(2,(1+$B$11)^(A24-1))/Parametres!$B$6+$B$7*Parametres!$B$7),0)</f>
        <v>677</v>
      </c>
      <c r="C24" s="109" t="n">
        <f aca="false">1+$B$8*(Parametres!$B$28+Parametres!$B$29+Parametres!$B$30)</f>
        <v>1.085</v>
      </c>
      <c r="D24" s="109" t="n">
        <f aca="false">MIN(1+Parametres!$B$47*A24,1+Parametres!$B$48)</f>
        <v>1.2</v>
      </c>
      <c r="E24" s="29" t="n">
        <f aca="false">ROUND(B24*C24*D24*$B$9,0)</f>
        <v>864</v>
      </c>
      <c r="F24" s="29" t="n">
        <f aca="false">F23+E24</f>
        <v>9456</v>
      </c>
      <c r="G24" s="110" t="n">
        <f aca="false">MATCH(F24,Progression!$C$5:$C$54,1)</f>
        <v>12</v>
      </c>
      <c r="H24" s="28" t="n">
        <f aca="false">INDEX(Progression!$I$5:$I$54,G24)</f>
        <v>44</v>
      </c>
      <c r="I24" s="111" t="n">
        <f aca="false">IF(G24&lt;Donjon!$B$42,0,MATCH(G24,Donjon!$B$42:$B$53,1))</f>
        <v>5</v>
      </c>
      <c r="J24" s="28" t="n">
        <f aca="false">J23+ROUND(IF(I24=0,0,$B$10*Parametres!$B$63*55*(1+Parametres!$B$64*(I24-1))),0)</f>
        <v>34375</v>
      </c>
      <c r="K24" s="28" t="n">
        <f aca="false">K23+ROUND(IF(I24=0,0,$B$10*(Parametres!$B$65*Parametres!$B$51+Parametres!$B$66)),0)</f>
        <v>750</v>
      </c>
      <c r="L24" s="33"/>
    </row>
    <row r="25" customFormat="false" ht="15" hidden="false" customHeight="true" outlineLevel="0" collapsed="false">
      <c r="A25" s="20" t="n">
        <v>13</v>
      </c>
      <c r="B25" s="21" t="n">
        <f aca="false">ROUND($B$5*(Parametres!$B$5+$B$6*MIN(2,(1+$B$11)^(A25-1))/Parametres!$B$6+$B$7*Parametres!$B$7),0)</f>
        <v>680</v>
      </c>
      <c r="C25" s="57" t="n">
        <f aca="false">1+$B$8*(Parametres!$B$28+Parametres!$B$29+Parametres!$B$30)</f>
        <v>1.085</v>
      </c>
      <c r="D25" s="57" t="n">
        <f aca="false">MIN(1+Parametres!$B$47*A25,1+Parametres!$B$48)</f>
        <v>1.2</v>
      </c>
      <c r="E25" s="22" t="n">
        <f aca="false">ROUND(B25*C25*D25*$B$9,0)</f>
        <v>868</v>
      </c>
      <c r="F25" s="22" t="n">
        <f aca="false">F24+E25</f>
        <v>10324</v>
      </c>
      <c r="G25" s="108" t="n">
        <f aca="false">MATCH(F25,Progression!$C$5:$C$54,1)</f>
        <v>12</v>
      </c>
      <c r="H25" s="21" t="n">
        <f aca="false">INDEX(Progression!$I$5:$I$54,G25)</f>
        <v>44</v>
      </c>
      <c r="I25" s="52" t="n">
        <f aca="false">IF(G25&lt;Donjon!$B$42,0,MATCH(G25,Donjon!$B$42:$B$53,1))</f>
        <v>5</v>
      </c>
      <c r="J25" s="21" t="n">
        <f aca="false">J24+ROUND(IF(I25=0,0,$B$10*Parametres!$B$63*55*(1+Parametres!$B$64*(I25-1))),0)</f>
        <v>38225</v>
      </c>
      <c r="K25" s="21" t="n">
        <f aca="false">K24+ROUND(IF(I25=0,0,$B$10*(Parametres!$B$65*Parametres!$B$51+Parametres!$B$66)),0)</f>
        <v>825</v>
      </c>
      <c r="L25" s="26" t="s">
        <v>686</v>
      </c>
    </row>
    <row r="26" customFormat="false" ht="15" hidden="false" customHeight="true" outlineLevel="0" collapsed="false">
      <c r="A26" s="27" t="n">
        <v>14</v>
      </c>
      <c r="B26" s="28" t="n">
        <f aca="false">ROUND($B$5*(Parametres!$B$5+$B$6*MIN(2,(1+$B$11)^(A26-1))/Parametres!$B$6+$B$7*Parametres!$B$7),0)</f>
        <v>684</v>
      </c>
      <c r="C26" s="109" t="n">
        <f aca="false">1+$B$8*(Parametres!$B$28+Parametres!$B$29+Parametres!$B$30)</f>
        <v>1.085</v>
      </c>
      <c r="D26" s="109" t="n">
        <f aca="false">MIN(1+Parametres!$B$47*A26,1+Parametres!$B$48)</f>
        <v>1.2</v>
      </c>
      <c r="E26" s="29" t="n">
        <f aca="false">ROUND(B26*C26*D26*$B$9,0)</f>
        <v>873</v>
      </c>
      <c r="F26" s="29" t="n">
        <f aca="false">F25+E26</f>
        <v>11197</v>
      </c>
      <c r="G26" s="110" t="n">
        <f aca="false">MATCH(F26,Progression!$C$5:$C$54,1)</f>
        <v>13</v>
      </c>
      <c r="H26" s="28" t="n">
        <f aca="false">INDEX(Progression!$I$5:$I$54,G26)</f>
        <v>49</v>
      </c>
      <c r="I26" s="111" t="n">
        <f aca="false">IF(G26&lt;Donjon!$B$42,0,MATCH(G26,Donjon!$B$42:$B$53,1))</f>
        <v>6</v>
      </c>
      <c r="J26" s="28" t="n">
        <f aca="false">J25+ROUND(IF(I26=0,0,$B$10*Parametres!$B$63*55*(1+Parametres!$B$64*(I26-1))),0)</f>
        <v>42350</v>
      </c>
      <c r="K26" s="28" t="n">
        <f aca="false">K25+ROUND(IF(I26=0,0,$B$10*(Parametres!$B$65*Parametres!$B$51+Parametres!$B$66)),0)</f>
        <v>900</v>
      </c>
      <c r="L26" s="33"/>
    </row>
    <row r="27" customFormat="false" ht="15" hidden="false" customHeight="true" outlineLevel="0" collapsed="false">
      <c r="A27" s="20" t="n">
        <v>15</v>
      </c>
      <c r="B27" s="21" t="n">
        <f aca="false">ROUND($B$5*(Parametres!$B$5+$B$6*MIN(2,(1+$B$11)^(A27-1))/Parametres!$B$6+$B$7*Parametres!$B$7),0)</f>
        <v>687</v>
      </c>
      <c r="C27" s="57" t="n">
        <f aca="false">1+$B$8*(Parametres!$B$28+Parametres!$B$29+Parametres!$B$30)</f>
        <v>1.085</v>
      </c>
      <c r="D27" s="57" t="n">
        <f aca="false">MIN(1+Parametres!$B$47*A27,1+Parametres!$B$48)</f>
        <v>1.2</v>
      </c>
      <c r="E27" s="22" t="n">
        <f aca="false">ROUND(B27*C27*D27*$B$9,0)</f>
        <v>877</v>
      </c>
      <c r="F27" s="22" t="n">
        <f aca="false">F26+E27</f>
        <v>12074</v>
      </c>
      <c r="G27" s="108" t="n">
        <f aca="false">MATCH(F27,Progression!$C$5:$C$54,1)</f>
        <v>13</v>
      </c>
      <c r="H27" s="21" t="n">
        <f aca="false">INDEX(Progression!$I$5:$I$54,G27)</f>
        <v>49</v>
      </c>
      <c r="I27" s="52" t="n">
        <f aca="false">IF(G27&lt;Donjon!$B$42,0,MATCH(G27,Donjon!$B$42:$B$53,1))</f>
        <v>6</v>
      </c>
      <c r="J27" s="21" t="n">
        <f aca="false">J26+ROUND(IF(I27=0,0,$B$10*Parametres!$B$63*55*(1+Parametres!$B$64*(I27-1))),0)</f>
        <v>46475</v>
      </c>
      <c r="K27" s="21" t="n">
        <f aca="false">K26+ROUND(IF(I27=0,0,$B$10*(Parametres!$B$65*Parametres!$B$51+Parametres!$B$66)),0)</f>
        <v>975</v>
      </c>
      <c r="L27" s="34"/>
    </row>
    <row r="28" customFormat="false" ht="15" hidden="false" customHeight="true" outlineLevel="0" collapsed="false">
      <c r="A28" s="27" t="n">
        <v>16</v>
      </c>
      <c r="B28" s="28" t="n">
        <f aca="false">ROUND($B$5*(Parametres!$B$5+$B$6*MIN(2,(1+$B$11)^(A28-1))/Parametres!$B$6+$B$7*Parametres!$B$7),0)</f>
        <v>691</v>
      </c>
      <c r="C28" s="109" t="n">
        <f aca="false">1+$B$8*(Parametres!$B$28+Parametres!$B$29+Parametres!$B$30)</f>
        <v>1.085</v>
      </c>
      <c r="D28" s="109" t="n">
        <f aca="false">MIN(1+Parametres!$B$47*A28,1+Parametres!$B$48)</f>
        <v>1.2</v>
      </c>
      <c r="E28" s="29" t="n">
        <f aca="false">ROUND(B28*C28*D28*$B$9,0)</f>
        <v>882</v>
      </c>
      <c r="F28" s="29" t="n">
        <f aca="false">F27+E28</f>
        <v>12956</v>
      </c>
      <c r="G28" s="110" t="n">
        <f aca="false">MATCH(F28,Progression!$C$5:$C$54,1)</f>
        <v>13</v>
      </c>
      <c r="H28" s="28" t="n">
        <f aca="false">INDEX(Progression!$I$5:$I$54,G28)</f>
        <v>49</v>
      </c>
      <c r="I28" s="111" t="n">
        <f aca="false">IF(G28&lt;Donjon!$B$42,0,MATCH(G28,Donjon!$B$42:$B$53,1))</f>
        <v>6</v>
      </c>
      <c r="J28" s="28" t="n">
        <f aca="false">J27+ROUND(IF(I28=0,0,$B$10*Parametres!$B$63*55*(1+Parametres!$B$64*(I28-1))),0)</f>
        <v>50600</v>
      </c>
      <c r="K28" s="28" t="n">
        <f aca="false">K27+ROUND(IF(I28=0,0,$B$10*(Parametres!$B$65*Parametres!$B$51+Parametres!$B$66)),0)</f>
        <v>1050</v>
      </c>
      <c r="L28" s="33"/>
    </row>
    <row r="29" customFormat="false" ht="15" hidden="false" customHeight="true" outlineLevel="0" collapsed="false">
      <c r="A29" s="20" t="n">
        <v>17</v>
      </c>
      <c r="B29" s="21" t="n">
        <f aca="false">ROUND($B$5*(Parametres!$B$5+$B$6*MIN(2,(1+$B$11)^(A29-1))/Parametres!$B$6+$B$7*Parametres!$B$7),0)</f>
        <v>694</v>
      </c>
      <c r="C29" s="57" t="n">
        <f aca="false">1+$B$8*(Parametres!$B$28+Parametres!$B$29+Parametres!$B$30)</f>
        <v>1.085</v>
      </c>
      <c r="D29" s="57" t="n">
        <f aca="false">MIN(1+Parametres!$B$47*A29,1+Parametres!$B$48)</f>
        <v>1.2</v>
      </c>
      <c r="E29" s="22" t="n">
        <f aca="false">ROUND(B29*C29*D29*$B$9,0)</f>
        <v>886</v>
      </c>
      <c r="F29" s="22" t="n">
        <f aca="false">F28+E29</f>
        <v>13842</v>
      </c>
      <c r="G29" s="108" t="n">
        <f aca="false">MATCH(F29,Progression!$C$5:$C$54,1)</f>
        <v>14</v>
      </c>
      <c r="H29" s="21" t="n">
        <f aca="false">INDEX(Progression!$I$5:$I$54,G29)</f>
        <v>54</v>
      </c>
      <c r="I29" s="52" t="n">
        <f aca="false">IF(G29&lt;Donjon!$B$42,0,MATCH(G29,Donjon!$B$42:$B$53,1))</f>
        <v>6</v>
      </c>
      <c r="J29" s="21" t="n">
        <f aca="false">J28+ROUND(IF(I29=0,0,$B$10*Parametres!$B$63*55*(1+Parametres!$B$64*(I29-1))),0)</f>
        <v>54725</v>
      </c>
      <c r="K29" s="21" t="n">
        <f aca="false">K28+ROUND(IF(I29=0,0,$B$10*(Parametres!$B$65*Parametres!$B$51+Parametres!$B$66)),0)</f>
        <v>1125</v>
      </c>
      <c r="L29" s="34"/>
    </row>
    <row r="30" customFormat="false" ht="15" hidden="false" customHeight="true" outlineLevel="0" collapsed="false">
      <c r="A30" s="27" t="n">
        <v>18</v>
      </c>
      <c r="B30" s="28" t="n">
        <f aca="false">ROUND($B$5*(Parametres!$B$5+$B$6*MIN(2,(1+$B$11)^(A30-1))/Parametres!$B$6+$B$7*Parametres!$B$7),0)</f>
        <v>698</v>
      </c>
      <c r="C30" s="109" t="n">
        <f aca="false">1+$B$8*(Parametres!$B$28+Parametres!$B$29+Parametres!$B$30)</f>
        <v>1.085</v>
      </c>
      <c r="D30" s="109" t="n">
        <f aca="false">MIN(1+Parametres!$B$47*A30,1+Parametres!$B$48)</f>
        <v>1.2</v>
      </c>
      <c r="E30" s="29" t="n">
        <f aca="false">ROUND(B30*C30*D30*$B$9,0)</f>
        <v>891</v>
      </c>
      <c r="F30" s="29" t="n">
        <f aca="false">F29+E30</f>
        <v>14733</v>
      </c>
      <c r="G30" s="110" t="n">
        <f aca="false">MATCH(F30,Progression!$C$5:$C$54,1)</f>
        <v>14</v>
      </c>
      <c r="H30" s="28" t="n">
        <f aca="false">INDEX(Progression!$I$5:$I$54,G30)</f>
        <v>54</v>
      </c>
      <c r="I30" s="111" t="n">
        <f aca="false">IF(G30&lt;Donjon!$B$42,0,MATCH(G30,Donjon!$B$42:$B$53,1))</f>
        <v>6</v>
      </c>
      <c r="J30" s="28" t="n">
        <f aca="false">J29+ROUND(IF(I30=0,0,$B$10*Parametres!$B$63*55*(1+Parametres!$B$64*(I30-1))),0)</f>
        <v>58850</v>
      </c>
      <c r="K30" s="28" t="n">
        <f aca="false">K29+ROUND(IF(I30=0,0,$B$10*(Parametres!$B$65*Parametres!$B$51+Parametres!$B$66)),0)</f>
        <v>1200</v>
      </c>
      <c r="L30" s="33"/>
    </row>
    <row r="31" customFormat="false" ht="15" hidden="false" customHeight="true" outlineLevel="0" collapsed="false">
      <c r="A31" s="20" t="n">
        <v>19</v>
      </c>
      <c r="B31" s="21" t="n">
        <f aca="false">ROUND($B$5*(Parametres!$B$5+$B$6*MIN(2,(1+$B$11)^(A31-1))/Parametres!$B$6+$B$7*Parametres!$B$7),0)</f>
        <v>702</v>
      </c>
      <c r="C31" s="57" t="n">
        <f aca="false">1+$B$8*(Parametres!$B$28+Parametres!$B$29+Parametres!$B$30)</f>
        <v>1.085</v>
      </c>
      <c r="D31" s="57" t="n">
        <f aca="false">MIN(1+Parametres!$B$47*A31,1+Parametres!$B$48)</f>
        <v>1.2</v>
      </c>
      <c r="E31" s="22" t="n">
        <f aca="false">ROUND(B31*C31*D31*$B$9,0)</f>
        <v>896</v>
      </c>
      <c r="F31" s="22" t="n">
        <f aca="false">F30+E31</f>
        <v>15629</v>
      </c>
      <c r="G31" s="108" t="n">
        <f aca="false">MATCH(F31,Progression!$C$5:$C$54,1)</f>
        <v>14</v>
      </c>
      <c r="H31" s="21" t="n">
        <f aca="false">INDEX(Progression!$I$5:$I$54,G31)</f>
        <v>54</v>
      </c>
      <c r="I31" s="52" t="n">
        <f aca="false">IF(G31&lt;Donjon!$B$42,0,MATCH(G31,Donjon!$B$42:$B$53,1))</f>
        <v>6</v>
      </c>
      <c r="J31" s="21" t="n">
        <f aca="false">J30+ROUND(IF(I31=0,0,$B$10*Parametres!$B$63*55*(1+Parametres!$B$64*(I31-1))),0)</f>
        <v>62975</v>
      </c>
      <c r="K31" s="21" t="n">
        <f aca="false">K30+ROUND(IF(I31=0,0,$B$10*(Parametres!$B$65*Parametres!$B$51+Parametres!$B$66)),0)</f>
        <v>1275</v>
      </c>
      <c r="L31" s="34"/>
    </row>
    <row r="32" customFormat="false" ht="15" hidden="false" customHeight="true" outlineLevel="0" collapsed="false">
      <c r="A32" s="27" t="n">
        <v>20</v>
      </c>
      <c r="B32" s="28" t="n">
        <f aca="false">ROUND($B$5*(Parametres!$B$5+$B$6*MIN(2,(1+$B$11)^(A32-1))/Parametres!$B$6+$B$7*Parametres!$B$7),0)</f>
        <v>705</v>
      </c>
      <c r="C32" s="109" t="n">
        <f aca="false">1+$B$8*(Parametres!$B$28+Parametres!$B$29+Parametres!$B$30)</f>
        <v>1.085</v>
      </c>
      <c r="D32" s="109" t="n">
        <f aca="false">MIN(1+Parametres!$B$47*A32,1+Parametres!$B$48)</f>
        <v>1.2</v>
      </c>
      <c r="E32" s="29" t="n">
        <f aca="false">ROUND(B32*C32*D32*$B$9,0)</f>
        <v>900</v>
      </c>
      <c r="F32" s="29" t="n">
        <f aca="false">F31+E32</f>
        <v>16529</v>
      </c>
      <c r="G32" s="110" t="n">
        <f aca="false">MATCH(F32,Progression!$C$5:$C$54,1)</f>
        <v>15</v>
      </c>
      <c r="H32" s="28" t="n">
        <f aca="false">INDEX(Progression!$I$5:$I$54,G32)</f>
        <v>60</v>
      </c>
      <c r="I32" s="111" t="n">
        <f aca="false">IF(G32&lt;Donjon!$B$42,0,MATCH(G32,Donjon!$B$42:$B$53,1))</f>
        <v>6</v>
      </c>
      <c r="J32" s="28" t="n">
        <f aca="false">J31+ROUND(IF(I32=0,0,$B$10*Parametres!$B$63*55*(1+Parametres!$B$64*(I32-1))),0)</f>
        <v>67100</v>
      </c>
      <c r="K32" s="28" t="n">
        <f aca="false">K31+ROUND(IF(I32=0,0,$B$10*(Parametres!$B$65*Parametres!$B$51+Parametres!$B$66)),0)</f>
        <v>1350</v>
      </c>
      <c r="L32" s="33"/>
    </row>
    <row r="33" customFormat="false" ht="15" hidden="false" customHeight="true" outlineLevel="0" collapsed="false">
      <c r="A33" s="20" t="n">
        <v>21</v>
      </c>
      <c r="B33" s="21" t="n">
        <f aca="false">ROUND($B$5*(Parametres!$B$5+$B$6*MIN(2,(1+$B$11)^(A33-1))/Parametres!$B$6+$B$7*Parametres!$B$7),0)</f>
        <v>709</v>
      </c>
      <c r="C33" s="57" t="n">
        <f aca="false">1+$B$8*(Parametres!$B$28+Parametres!$B$29+Parametres!$B$30)</f>
        <v>1.085</v>
      </c>
      <c r="D33" s="57" t="n">
        <f aca="false">MIN(1+Parametres!$B$47*A33,1+Parametres!$B$48)</f>
        <v>1.2</v>
      </c>
      <c r="E33" s="22" t="n">
        <f aca="false">ROUND(B33*C33*D33*$B$9,0)</f>
        <v>905</v>
      </c>
      <c r="F33" s="22" t="n">
        <f aca="false">F32+E33</f>
        <v>17434</v>
      </c>
      <c r="G33" s="108" t="n">
        <f aca="false">MATCH(F33,Progression!$C$5:$C$54,1)</f>
        <v>15</v>
      </c>
      <c r="H33" s="21" t="n">
        <f aca="false">INDEX(Progression!$I$5:$I$54,G33)</f>
        <v>60</v>
      </c>
      <c r="I33" s="52" t="n">
        <f aca="false">IF(G33&lt;Donjon!$B$42,0,MATCH(G33,Donjon!$B$42:$B$53,1))</f>
        <v>6</v>
      </c>
      <c r="J33" s="21" t="n">
        <f aca="false">J32+ROUND(IF(I33=0,0,$B$10*Parametres!$B$63*55*(1+Parametres!$B$64*(I33-1))),0)</f>
        <v>71225</v>
      </c>
      <c r="K33" s="21" t="n">
        <f aca="false">K32+ROUND(IF(I33=0,0,$B$10*(Parametres!$B$65*Parametres!$B$51+Parametres!$B$66)),0)</f>
        <v>1425</v>
      </c>
      <c r="L33" s="34"/>
    </row>
    <row r="34" customFormat="false" ht="15" hidden="false" customHeight="true" outlineLevel="0" collapsed="false">
      <c r="A34" s="27" t="n">
        <v>22</v>
      </c>
      <c r="B34" s="28" t="n">
        <f aca="false">ROUND($B$5*(Parametres!$B$5+$B$6*MIN(2,(1+$B$11)^(A34-1))/Parametres!$B$6+$B$7*Parametres!$B$7),0)</f>
        <v>713</v>
      </c>
      <c r="C34" s="109" t="n">
        <f aca="false">1+$B$8*(Parametres!$B$28+Parametres!$B$29+Parametres!$B$30)</f>
        <v>1.085</v>
      </c>
      <c r="D34" s="109" t="n">
        <f aca="false">MIN(1+Parametres!$B$47*A34,1+Parametres!$B$48)</f>
        <v>1.2</v>
      </c>
      <c r="E34" s="29" t="n">
        <f aca="false">ROUND(B34*C34*D34*$B$9,0)</f>
        <v>910</v>
      </c>
      <c r="F34" s="29" t="n">
        <f aca="false">F33+E34</f>
        <v>18344</v>
      </c>
      <c r="G34" s="110" t="n">
        <f aca="false">MATCH(F34,Progression!$C$5:$C$54,1)</f>
        <v>15</v>
      </c>
      <c r="H34" s="28" t="n">
        <f aca="false">INDEX(Progression!$I$5:$I$54,G34)</f>
        <v>60</v>
      </c>
      <c r="I34" s="111" t="n">
        <f aca="false">IF(G34&lt;Donjon!$B$42,0,MATCH(G34,Donjon!$B$42:$B$53,1))</f>
        <v>6</v>
      </c>
      <c r="J34" s="28" t="n">
        <f aca="false">J33+ROUND(IF(I34=0,0,$B$10*Parametres!$B$63*55*(1+Parametres!$B$64*(I34-1))),0)</f>
        <v>75350</v>
      </c>
      <c r="K34" s="28" t="n">
        <f aca="false">K33+ROUND(IF(I34=0,0,$B$10*(Parametres!$B$65*Parametres!$B$51+Parametres!$B$66)),0)</f>
        <v>1500</v>
      </c>
      <c r="L34" s="33"/>
    </row>
    <row r="35" customFormat="false" ht="15" hidden="false" customHeight="true" outlineLevel="0" collapsed="false">
      <c r="A35" s="20" t="n">
        <v>23</v>
      </c>
      <c r="B35" s="21" t="n">
        <f aca="false">ROUND($B$5*(Parametres!$B$5+$B$6*MIN(2,(1+$B$11)^(A35-1))/Parametres!$B$6+$B$7*Parametres!$B$7),0)</f>
        <v>717</v>
      </c>
      <c r="C35" s="57" t="n">
        <f aca="false">1+$B$8*(Parametres!$B$28+Parametres!$B$29+Parametres!$B$30)</f>
        <v>1.085</v>
      </c>
      <c r="D35" s="57" t="n">
        <f aca="false">MIN(1+Parametres!$B$47*A35,1+Parametres!$B$48)</f>
        <v>1.2</v>
      </c>
      <c r="E35" s="22" t="n">
        <f aca="false">ROUND(B35*C35*D35*$B$9,0)</f>
        <v>915</v>
      </c>
      <c r="F35" s="22" t="n">
        <f aca="false">F34+E35</f>
        <v>19259</v>
      </c>
      <c r="G35" s="108" t="n">
        <f aca="false">MATCH(F35,Progression!$C$5:$C$54,1)</f>
        <v>16</v>
      </c>
      <c r="H35" s="21" t="n">
        <f aca="false">INDEX(Progression!$I$5:$I$54,G35)</f>
        <v>66</v>
      </c>
      <c r="I35" s="52" t="n">
        <f aca="false">IF(G35&lt;Donjon!$B$42,0,MATCH(G35,Donjon!$B$42:$B$53,1))</f>
        <v>7</v>
      </c>
      <c r="J35" s="21" t="n">
        <f aca="false">J34+ROUND(IF(I35=0,0,$B$10*Parametres!$B$63*55*(1+Parametres!$B$64*(I35-1))),0)</f>
        <v>79750</v>
      </c>
      <c r="K35" s="21" t="n">
        <f aca="false">K34+ROUND(IF(I35=0,0,$B$10*(Parametres!$B$65*Parametres!$B$51+Parametres!$B$66)),0)</f>
        <v>1575</v>
      </c>
      <c r="L35" s="34"/>
    </row>
    <row r="36" customFormat="false" ht="15" hidden="false" customHeight="true" outlineLevel="0" collapsed="false">
      <c r="A36" s="27" t="n">
        <v>24</v>
      </c>
      <c r="B36" s="28" t="n">
        <f aca="false">ROUND($B$5*(Parametres!$B$5+$B$6*MIN(2,(1+$B$11)^(A36-1))/Parametres!$B$6+$B$7*Parametres!$B$7),0)</f>
        <v>720</v>
      </c>
      <c r="C36" s="109" t="n">
        <f aca="false">1+$B$8*(Parametres!$B$28+Parametres!$B$29+Parametres!$B$30)</f>
        <v>1.085</v>
      </c>
      <c r="D36" s="109" t="n">
        <f aca="false">MIN(1+Parametres!$B$47*A36,1+Parametres!$B$48)</f>
        <v>1.2</v>
      </c>
      <c r="E36" s="29" t="n">
        <f aca="false">ROUND(B36*C36*D36*$B$9,0)</f>
        <v>919</v>
      </c>
      <c r="F36" s="29" t="n">
        <f aca="false">F35+E36</f>
        <v>20178</v>
      </c>
      <c r="G36" s="110" t="n">
        <f aca="false">MATCH(F36,Progression!$C$5:$C$54,1)</f>
        <v>16</v>
      </c>
      <c r="H36" s="28" t="n">
        <f aca="false">INDEX(Progression!$I$5:$I$54,G36)</f>
        <v>66</v>
      </c>
      <c r="I36" s="111" t="n">
        <f aca="false">IF(G36&lt;Donjon!$B$42,0,MATCH(G36,Donjon!$B$42:$B$53,1))</f>
        <v>7</v>
      </c>
      <c r="J36" s="28" t="n">
        <f aca="false">J35+ROUND(IF(I36=0,0,$B$10*Parametres!$B$63*55*(1+Parametres!$B$64*(I36-1))),0)</f>
        <v>84150</v>
      </c>
      <c r="K36" s="28" t="n">
        <f aca="false">K35+ROUND(IF(I36=0,0,$B$10*(Parametres!$B$65*Parametres!$B$51+Parametres!$B$66)),0)</f>
        <v>1650</v>
      </c>
      <c r="L36" s="33"/>
    </row>
    <row r="37" customFormat="false" ht="15" hidden="false" customHeight="true" outlineLevel="0" collapsed="false">
      <c r="A37" s="20" t="n">
        <v>25</v>
      </c>
      <c r="B37" s="21" t="n">
        <f aca="false">ROUND($B$5*(Parametres!$B$5+$B$6*MIN(2,(1+$B$11)^(A37-1))/Parametres!$B$6+$B$7*Parametres!$B$7),0)</f>
        <v>724</v>
      </c>
      <c r="C37" s="57" t="n">
        <f aca="false">1+$B$8*(Parametres!$B$28+Parametres!$B$29+Parametres!$B$30)</f>
        <v>1.085</v>
      </c>
      <c r="D37" s="57" t="n">
        <f aca="false">MIN(1+Parametres!$B$47*A37,1+Parametres!$B$48)</f>
        <v>1.2</v>
      </c>
      <c r="E37" s="22" t="n">
        <f aca="false">ROUND(B37*C37*D37*$B$9,0)</f>
        <v>924</v>
      </c>
      <c r="F37" s="22" t="n">
        <f aca="false">F36+E37</f>
        <v>21102</v>
      </c>
      <c r="G37" s="108" t="n">
        <f aca="false">MATCH(F37,Progression!$C$5:$C$54,1)</f>
        <v>16</v>
      </c>
      <c r="H37" s="21" t="n">
        <f aca="false">INDEX(Progression!$I$5:$I$54,G37)</f>
        <v>66</v>
      </c>
      <c r="I37" s="52" t="n">
        <f aca="false">IF(G37&lt;Donjon!$B$42,0,MATCH(G37,Donjon!$B$42:$B$53,1))</f>
        <v>7</v>
      </c>
      <c r="J37" s="21" t="n">
        <f aca="false">J36+ROUND(IF(I37=0,0,$B$10*Parametres!$B$63*55*(1+Parametres!$B$64*(I37-1))),0)</f>
        <v>88550</v>
      </c>
      <c r="K37" s="21" t="n">
        <f aca="false">K36+ROUND(IF(I37=0,0,$B$10*(Parametres!$B$65*Parametres!$B$51+Parametres!$B$66)),0)</f>
        <v>1725</v>
      </c>
      <c r="L37" s="34"/>
    </row>
    <row r="38" customFormat="false" ht="15" hidden="false" customHeight="true" outlineLevel="0" collapsed="false">
      <c r="A38" s="27" t="n">
        <v>26</v>
      </c>
      <c r="B38" s="28" t="n">
        <f aca="false">ROUND($B$5*(Parametres!$B$5+$B$6*MIN(2,(1+$B$11)^(A38-1))/Parametres!$B$6+$B$7*Parametres!$B$7),0)</f>
        <v>728</v>
      </c>
      <c r="C38" s="109" t="n">
        <f aca="false">1+$B$8*(Parametres!$B$28+Parametres!$B$29+Parametres!$B$30)</f>
        <v>1.085</v>
      </c>
      <c r="D38" s="109" t="n">
        <f aca="false">MIN(1+Parametres!$B$47*A38,1+Parametres!$B$48)</f>
        <v>1.2</v>
      </c>
      <c r="E38" s="29" t="n">
        <f aca="false">ROUND(B38*C38*D38*$B$9,0)</f>
        <v>929</v>
      </c>
      <c r="F38" s="29" t="n">
        <f aca="false">F37+E38</f>
        <v>22031</v>
      </c>
      <c r="G38" s="110" t="n">
        <f aca="false">MATCH(F38,Progression!$C$5:$C$54,1)</f>
        <v>16</v>
      </c>
      <c r="H38" s="28" t="n">
        <f aca="false">INDEX(Progression!$I$5:$I$54,G38)</f>
        <v>66</v>
      </c>
      <c r="I38" s="111" t="n">
        <f aca="false">IF(G38&lt;Donjon!$B$42,0,MATCH(G38,Donjon!$B$42:$B$53,1))</f>
        <v>7</v>
      </c>
      <c r="J38" s="28" t="n">
        <f aca="false">J37+ROUND(IF(I38=0,0,$B$10*Parametres!$B$63*55*(1+Parametres!$B$64*(I38-1))),0)</f>
        <v>92950</v>
      </c>
      <c r="K38" s="28" t="n">
        <f aca="false">K37+ROUND(IF(I38=0,0,$B$10*(Parametres!$B$65*Parametres!$B$51+Parametres!$B$66)),0)</f>
        <v>1800</v>
      </c>
      <c r="L38" s="35" t="s">
        <v>687</v>
      </c>
    </row>
    <row r="39" customFormat="false" ht="15" hidden="false" customHeight="true" outlineLevel="0" collapsed="false">
      <c r="A39" s="20" t="n">
        <v>27</v>
      </c>
      <c r="B39" s="21" t="n">
        <f aca="false">ROUND($B$5*(Parametres!$B$5+$B$6*MIN(2,(1+$B$11)^(A39-1))/Parametres!$B$6+$B$7*Parametres!$B$7),0)</f>
        <v>732</v>
      </c>
      <c r="C39" s="57" t="n">
        <f aca="false">1+$B$8*(Parametres!$B$28+Parametres!$B$29+Parametres!$B$30)</f>
        <v>1.085</v>
      </c>
      <c r="D39" s="57" t="n">
        <f aca="false">MIN(1+Parametres!$B$47*A39,1+Parametres!$B$48)</f>
        <v>1.2</v>
      </c>
      <c r="E39" s="22" t="n">
        <f aca="false">ROUND(B39*C39*D39*$B$9,0)</f>
        <v>934</v>
      </c>
      <c r="F39" s="22" t="n">
        <f aca="false">F38+E39</f>
        <v>22965</v>
      </c>
      <c r="G39" s="108" t="n">
        <f aca="false">MATCH(F39,Progression!$C$5:$C$54,1)</f>
        <v>17</v>
      </c>
      <c r="H39" s="21" t="n">
        <f aca="false">INDEX(Progression!$I$5:$I$54,G39)</f>
        <v>72</v>
      </c>
      <c r="I39" s="52" t="n">
        <f aca="false">IF(G39&lt;Donjon!$B$42,0,MATCH(G39,Donjon!$B$42:$B$53,1))</f>
        <v>7</v>
      </c>
      <c r="J39" s="21" t="n">
        <f aca="false">J38+ROUND(IF(I39=0,0,$B$10*Parametres!$B$63*55*(1+Parametres!$B$64*(I39-1))),0)</f>
        <v>97350</v>
      </c>
      <c r="K39" s="21" t="n">
        <f aca="false">K38+ROUND(IF(I39=0,0,$B$10*(Parametres!$B$65*Parametres!$B$51+Parametres!$B$66)),0)</f>
        <v>1875</v>
      </c>
      <c r="L39" s="34"/>
    </row>
    <row r="40" customFormat="false" ht="15" hidden="false" customHeight="true" outlineLevel="0" collapsed="false">
      <c r="A40" s="27" t="n">
        <v>28</v>
      </c>
      <c r="B40" s="28" t="n">
        <f aca="false">ROUND($B$5*(Parametres!$B$5+$B$6*MIN(2,(1+$B$11)^(A40-1))/Parametres!$B$6+$B$7*Parametres!$B$7),0)</f>
        <v>736</v>
      </c>
      <c r="C40" s="109" t="n">
        <f aca="false">1+$B$8*(Parametres!$B$28+Parametres!$B$29+Parametres!$B$30)</f>
        <v>1.085</v>
      </c>
      <c r="D40" s="109" t="n">
        <f aca="false">MIN(1+Parametres!$B$47*A40,1+Parametres!$B$48)</f>
        <v>1.2</v>
      </c>
      <c r="E40" s="29" t="n">
        <f aca="false">ROUND(B40*C40*D40*$B$9,0)</f>
        <v>939</v>
      </c>
      <c r="F40" s="29" t="n">
        <f aca="false">F39+E40</f>
        <v>23904</v>
      </c>
      <c r="G40" s="110" t="n">
        <f aca="false">MATCH(F40,Progression!$C$5:$C$54,1)</f>
        <v>17</v>
      </c>
      <c r="H40" s="28" t="n">
        <f aca="false">INDEX(Progression!$I$5:$I$54,G40)</f>
        <v>72</v>
      </c>
      <c r="I40" s="111" t="n">
        <f aca="false">IF(G40&lt;Donjon!$B$42,0,MATCH(G40,Donjon!$B$42:$B$53,1))</f>
        <v>7</v>
      </c>
      <c r="J40" s="28" t="n">
        <f aca="false">J39+ROUND(IF(I40=0,0,$B$10*Parametres!$B$63*55*(1+Parametres!$B$64*(I40-1))),0)</f>
        <v>101750</v>
      </c>
      <c r="K40" s="28" t="n">
        <f aca="false">K39+ROUND(IF(I40=0,0,$B$10*(Parametres!$B$65*Parametres!$B$51+Parametres!$B$66)),0)</f>
        <v>1950</v>
      </c>
      <c r="L40" s="33"/>
    </row>
    <row r="41" customFormat="false" ht="15" hidden="false" customHeight="true" outlineLevel="0" collapsed="false">
      <c r="A41" s="20" t="n">
        <v>29</v>
      </c>
      <c r="B41" s="21" t="n">
        <f aca="false">ROUND($B$5*(Parametres!$B$5+$B$6*MIN(2,(1+$B$11)^(A41-1))/Parametres!$B$6+$B$7*Parametres!$B$7),0)</f>
        <v>740</v>
      </c>
      <c r="C41" s="57" t="n">
        <f aca="false">1+$B$8*(Parametres!$B$28+Parametres!$B$29+Parametres!$B$30)</f>
        <v>1.085</v>
      </c>
      <c r="D41" s="57" t="n">
        <f aca="false">MIN(1+Parametres!$B$47*A41,1+Parametres!$B$48)</f>
        <v>1.2</v>
      </c>
      <c r="E41" s="22" t="n">
        <f aca="false">ROUND(B41*C41*D41*$B$9,0)</f>
        <v>944</v>
      </c>
      <c r="F41" s="22" t="n">
        <f aca="false">F40+E41</f>
        <v>24848</v>
      </c>
      <c r="G41" s="108" t="n">
        <f aca="false">MATCH(F41,Progression!$C$5:$C$54,1)</f>
        <v>17</v>
      </c>
      <c r="H41" s="21" t="n">
        <f aca="false">INDEX(Progression!$I$5:$I$54,G41)</f>
        <v>72</v>
      </c>
      <c r="I41" s="52" t="n">
        <f aca="false">IF(G41&lt;Donjon!$B$42,0,MATCH(G41,Donjon!$B$42:$B$53,1))</f>
        <v>7</v>
      </c>
      <c r="J41" s="21" t="n">
        <f aca="false">J40+ROUND(IF(I41=0,0,$B$10*Parametres!$B$63*55*(1+Parametres!$B$64*(I41-1))),0)</f>
        <v>106150</v>
      </c>
      <c r="K41" s="21" t="n">
        <f aca="false">K40+ROUND(IF(I41=0,0,$B$10*(Parametres!$B$65*Parametres!$B$51+Parametres!$B$66)),0)</f>
        <v>2025</v>
      </c>
      <c r="L41" s="34"/>
    </row>
    <row r="42" customFormat="false" ht="15" hidden="false" customHeight="true" outlineLevel="0" collapsed="false">
      <c r="A42" s="27" t="n">
        <v>30</v>
      </c>
      <c r="B42" s="28" t="n">
        <f aca="false">ROUND($B$5*(Parametres!$B$5+$B$6*MIN(2,(1+$B$11)^(A42-1))/Parametres!$B$6+$B$7*Parametres!$B$7),0)</f>
        <v>744</v>
      </c>
      <c r="C42" s="109" t="n">
        <f aca="false">1+$B$8*(Parametres!$B$28+Parametres!$B$29+Parametres!$B$30)</f>
        <v>1.085</v>
      </c>
      <c r="D42" s="109" t="n">
        <f aca="false">MIN(1+Parametres!$B$47*A42,1+Parametres!$B$48)</f>
        <v>1.2</v>
      </c>
      <c r="E42" s="29" t="n">
        <f aca="false">ROUND(B42*C42*D42*$B$9,0)</f>
        <v>949</v>
      </c>
      <c r="F42" s="29" t="n">
        <f aca="false">F41+E42</f>
        <v>25797</v>
      </c>
      <c r="G42" s="110" t="n">
        <f aca="false">MATCH(F42,Progression!$C$5:$C$54,1)</f>
        <v>18</v>
      </c>
      <c r="H42" s="28" t="n">
        <f aca="false">INDEX(Progression!$I$5:$I$54,G42)</f>
        <v>78</v>
      </c>
      <c r="I42" s="111" t="n">
        <f aca="false">IF(G42&lt;Donjon!$B$42,0,MATCH(G42,Donjon!$B$42:$B$53,1))</f>
        <v>8</v>
      </c>
      <c r="J42" s="28" t="n">
        <f aca="false">J41+ROUND(IF(I42=0,0,$B$10*Parametres!$B$63*55*(1+Parametres!$B$64*(I42-1))),0)</f>
        <v>110825</v>
      </c>
      <c r="K42" s="28" t="n">
        <f aca="false">K41+ROUND(IF(I42=0,0,$B$10*(Parametres!$B$65*Parametres!$B$51+Parametres!$B$66)),0)</f>
        <v>2100</v>
      </c>
      <c r="L42" s="33"/>
    </row>
    <row r="43" customFormat="false" ht="15" hidden="false" customHeight="true" outlineLevel="0" collapsed="false">
      <c r="A43" s="20" t="n">
        <v>31</v>
      </c>
      <c r="B43" s="21" t="n">
        <f aca="false">ROUND($B$5*(Parametres!$B$5+$B$6*MIN(2,(1+$B$11)^(A43-1))/Parametres!$B$6+$B$7*Parametres!$B$7),0)</f>
        <v>748</v>
      </c>
      <c r="C43" s="57" t="n">
        <f aca="false">1+$B$8*(Parametres!$B$28+Parametres!$B$29+Parametres!$B$30)</f>
        <v>1.085</v>
      </c>
      <c r="D43" s="57" t="n">
        <f aca="false">MIN(1+Parametres!$B$47*A43,1+Parametres!$B$48)</f>
        <v>1.2</v>
      </c>
      <c r="E43" s="22" t="n">
        <f aca="false">ROUND(B43*C43*D43*$B$9,0)</f>
        <v>954</v>
      </c>
      <c r="F43" s="22" t="n">
        <f aca="false">F42+E43</f>
        <v>26751</v>
      </c>
      <c r="G43" s="108" t="n">
        <f aca="false">MATCH(F43,Progression!$C$5:$C$54,1)</f>
        <v>18</v>
      </c>
      <c r="H43" s="21" t="n">
        <f aca="false">INDEX(Progression!$I$5:$I$54,G43)</f>
        <v>78</v>
      </c>
      <c r="I43" s="52" t="n">
        <f aca="false">IF(G43&lt;Donjon!$B$42,0,MATCH(G43,Donjon!$B$42:$B$53,1))</f>
        <v>8</v>
      </c>
      <c r="J43" s="21" t="n">
        <f aca="false">J42+ROUND(IF(I43=0,0,$B$10*Parametres!$B$63*55*(1+Parametres!$B$64*(I43-1))),0)</f>
        <v>115500</v>
      </c>
      <c r="K43" s="21" t="n">
        <f aca="false">K42+ROUND(IF(I43=0,0,$B$10*(Parametres!$B$65*Parametres!$B$51+Parametres!$B$66)),0)</f>
        <v>2175</v>
      </c>
      <c r="L43" s="34"/>
    </row>
    <row r="44" customFormat="false" ht="15" hidden="false" customHeight="true" outlineLevel="0" collapsed="false">
      <c r="A44" s="27" t="n">
        <v>32</v>
      </c>
      <c r="B44" s="28" t="n">
        <f aca="false">ROUND($B$5*(Parametres!$B$5+$B$6*MIN(2,(1+$B$11)^(A44-1))/Parametres!$B$6+$B$7*Parametres!$B$7),0)</f>
        <v>752</v>
      </c>
      <c r="C44" s="109" t="n">
        <f aca="false">1+$B$8*(Parametres!$B$28+Parametres!$B$29+Parametres!$B$30)</f>
        <v>1.085</v>
      </c>
      <c r="D44" s="109" t="n">
        <f aca="false">MIN(1+Parametres!$B$47*A44,1+Parametres!$B$48)</f>
        <v>1.2</v>
      </c>
      <c r="E44" s="29" t="n">
        <f aca="false">ROUND(B44*C44*D44*$B$9,0)</f>
        <v>960</v>
      </c>
      <c r="F44" s="29" t="n">
        <f aca="false">F43+E44</f>
        <v>27711</v>
      </c>
      <c r="G44" s="110" t="n">
        <f aca="false">MATCH(F44,Progression!$C$5:$C$54,1)</f>
        <v>18</v>
      </c>
      <c r="H44" s="28" t="n">
        <f aca="false">INDEX(Progression!$I$5:$I$54,G44)</f>
        <v>78</v>
      </c>
      <c r="I44" s="111" t="n">
        <f aca="false">IF(G44&lt;Donjon!$B$42,0,MATCH(G44,Donjon!$B$42:$B$53,1))</f>
        <v>8</v>
      </c>
      <c r="J44" s="28" t="n">
        <f aca="false">J43+ROUND(IF(I44=0,0,$B$10*Parametres!$B$63*55*(1+Parametres!$B$64*(I44-1))),0)</f>
        <v>120175</v>
      </c>
      <c r="K44" s="28" t="n">
        <f aca="false">K43+ROUND(IF(I44=0,0,$B$10*(Parametres!$B$65*Parametres!$B$51+Parametres!$B$66)),0)</f>
        <v>2250</v>
      </c>
      <c r="L44" s="33"/>
    </row>
    <row r="45" customFormat="false" ht="15" hidden="false" customHeight="true" outlineLevel="0" collapsed="false">
      <c r="A45" s="20" t="n">
        <v>33</v>
      </c>
      <c r="B45" s="21" t="n">
        <f aca="false">ROUND($B$5*(Parametres!$B$5+$B$6*MIN(2,(1+$B$11)^(A45-1))/Parametres!$B$6+$B$7*Parametres!$B$7),0)</f>
        <v>756</v>
      </c>
      <c r="C45" s="57" t="n">
        <f aca="false">1+$B$8*(Parametres!$B$28+Parametres!$B$29+Parametres!$B$30)</f>
        <v>1.085</v>
      </c>
      <c r="D45" s="57" t="n">
        <f aca="false">MIN(1+Parametres!$B$47*A45,1+Parametres!$B$48)</f>
        <v>1.2</v>
      </c>
      <c r="E45" s="22" t="n">
        <f aca="false">ROUND(B45*C45*D45*$B$9,0)</f>
        <v>965</v>
      </c>
      <c r="F45" s="22" t="n">
        <f aca="false">F44+E45</f>
        <v>28676</v>
      </c>
      <c r="G45" s="108" t="n">
        <f aca="false">MATCH(F45,Progression!$C$5:$C$54,1)</f>
        <v>18</v>
      </c>
      <c r="H45" s="21" t="n">
        <f aca="false">INDEX(Progression!$I$5:$I$54,G45)</f>
        <v>78</v>
      </c>
      <c r="I45" s="52" t="n">
        <f aca="false">IF(G45&lt;Donjon!$B$42,0,MATCH(G45,Donjon!$B$42:$B$53,1))</f>
        <v>8</v>
      </c>
      <c r="J45" s="21" t="n">
        <f aca="false">J44+ROUND(IF(I45=0,0,$B$10*Parametres!$B$63*55*(1+Parametres!$B$64*(I45-1))),0)</f>
        <v>124850</v>
      </c>
      <c r="K45" s="21" t="n">
        <f aca="false">K44+ROUND(IF(I45=0,0,$B$10*(Parametres!$B$65*Parametres!$B$51+Parametres!$B$66)),0)</f>
        <v>2325</v>
      </c>
      <c r="L45" s="34"/>
    </row>
    <row r="46" customFormat="false" ht="15" hidden="false" customHeight="true" outlineLevel="0" collapsed="false">
      <c r="A46" s="27" t="n">
        <v>34</v>
      </c>
      <c r="B46" s="28" t="n">
        <f aca="false">ROUND($B$5*(Parametres!$B$5+$B$6*MIN(2,(1+$B$11)^(A46-1))/Parametres!$B$6+$B$7*Parametres!$B$7),0)</f>
        <v>760</v>
      </c>
      <c r="C46" s="109" t="n">
        <f aca="false">1+$B$8*(Parametres!$B$28+Parametres!$B$29+Parametres!$B$30)</f>
        <v>1.085</v>
      </c>
      <c r="D46" s="109" t="n">
        <f aca="false">MIN(1+Parametres!$B$47*A46,1+Parametres!$B$48)</f>
        <v>1.2</v>
      </c>
      <c r="E46" s="29" t="n">
        <f aca="false">ROUND(B46*C46*D46*$B$9,0)</f>
        <v>970</v>
      </c>
      <c r="F46" s="29" t="n">
        <f aca="false">F45+E46</f>
        <v>29646</v>
      </c>
      <c r="G46" s="110" t="n">
        <f aca="false">MATCH(F46,Progression!$C$5:$C$54,1)</f>
        <v>19</v>
      </c>
      <c r="H46" s="28" t="n">
        <f aca="false">INDEX(Progression!$I$5:$I$54,G46)</f>
        <v>84</v>
      </c>
      <c r="I46" s="111" t="n">
        <f aca="false">IF(G46&lt;Donjon!$B$42,0,MATCH(G46,Donjon!$B$42:$B$53,1))</f>
        <v>8</v>
      </c>
      <c r="J46" s="28" t="n">
        <f aca="false">J45+ROUND(IF(I46=0,0,$B$10*Parametres!$B$63*55*(1+Parametres!$B$64*(I46-1))),0)</f>
        <v>129525</v>
      </c>
      <c r="K46" s="28" t="n">
        <f aca="false">K45+ROUND(IF(I46=0,0,$B$10*(Parametres!$B$65*Parametres!$B$51+Parametres!$B$66)),0)</f>
        <v>2400</v>
      </c>
      <c r="L46" s="33"/>
    </row>
    <row r="47" customFormat="false" ht="15" hidden="false" customHeight="true" outlineLevel="0" collapsed="false">
      <c r="A47" s="20" t="n">
        <v>35</v>
      </c>
      <c r="B47" s="21" t="n">
        <f aca="false">ROUND($B$5*(Parametres!$B$5+$B$6*MIN(2,(1+$B$11)^(A47-1))/Parametres!$B$6+$B$7*Parametres!$B$7),0)</f>
        <v>764</v>
      </c>
      <c r="C47" s="57" t="n">
        <f aca="false">1+$B$8*(Parametres!$B$28+Parametres!$B$29+Parametres!$B$30)</f>
        <v>1.085</v>
      </c>
      <c r="D47" s="57" t="n">
        <f aca="false">MIN(1+Parametres!$B$47*A47,1+Parametres!$B$48)</f>
        <v>1.2</v>
      </c>
      <c r="E47" s="22" t="n">
        <f aca="false">ROUND(B47*C47*D47*$B$9,0)</f>
        <v>975</v>
      </c>
      <c r="F47" s="22" t="n">
        <f aca="false">F46+E47</f>
        <v>30621</v>
      </c>
      <c r="G47" s="108" t="n">
        <f aca="false">MATCH(F47,Progression!$C$5:$C$54,1)</f>
        <v>19</v>
      </c>
      <c r="H47" s="21" t="n">
        <f aca="false">INDEX(Progression!$I$5:$I$54,G47)</f>
        <v>84</v>
      </c>
      <c r="I47" s="52" t="n">
        <f aca="false">IF(G47&lt;Donjon!$B$42,0,MATCH(G47,Donjon!$B$42:$B$53,1))</f>
        <v>8</v>
      </c>
      <c r="J47" s="21" t="n">
        <f aca="false">J46+ROUND(IF(I47=0,0,$B$10*Parametres!$B$63*55*(1+Parametres!$B$64*(I47-1))),0)</f>
        <v>134200</v>
      </c>
      <c r="K47" s="21" t="n">
        <f aca="false">K46+ROUND(IF(I47=0,0,$B$10*(Parametres!$B$65*Parametres!$B$51+Parametres!$B$66)),0)</f>
        <v>2475</v>
      </c>
      <c r="L47" s="34"/>
    </row>
    <row r="48" customFormat="false" ht="15" hidden="false" customHeight="true" outlineLevel="0" collapsed="false">
      <c r="A48" s="27" t="n">
        <v>36</v>
      </c>
      <c r="B48" s="28" t="n">
        <f aca="false">ROUND($B$5*(Parametres!$B$5+$B$6*MIN(2,(1+$B$11)^(A48-1))/Parametres!$B$6+$B$7*Parametres!$B$7),0)</f>
        <v>769</v>
      </c>
      <c r="C48" s="109" t="n">
        <f aca="false">1+$B$8*(Parametres!$B$28+Parametres!$B$29+Parametres!$B$30)</f>
        <v>1.085</v>
      </c>
      <c r="D48" s="109" t="n">
        <f aca="false">MIN(1+Parametres!$B$47*A48,1+Parametres!$B$48)</f>
        <v>1.2</v>
      </c>
      <c r="E48" s="29" t="n">
        <f aca="false">ROUND(B48*C48*D48*$B$9,0)</f>
        <v>981</v>
      </c>
      <c r="F48" s="29" t="n">
        <f aca="false">F47+E48</f>
        <v>31602</v>
      </c>
      <c r="G48" s="110" t="n">
        <f aca="false">MATCH(F48,Progression!$C$5:$C$54,1)</f>
        <v>19</v>
      </c>
      <c r="H48" s="28" t="n">
        <f aca="false">INDEX(Progression!$I$5:$I$54,G48)</f>
        <v>84</v>
      </c>
      <c r="I48" s="111" t="n">
        <f aca="false">IF(G48&lt;Donjon!$B$42,0,MATCH(G48,Donjon!$B$42:$B$53,1))</f>
        <v>8</v>
      </c>
      <c r="J48" s="28" t="n">
        <f aca="false">J47+ROUND(IF(I48=0,0,$B$10*Parametres!$B$63*55*(1+Parametres!$B$64*(I48-1))),0)</f>
        <v>138875</v>
      </c>
      <c r="K48" s="28" t="n">
        <f aca="false">K47+ROUND(IF(I48=0,0,$B$10*(Parametres!$B$65*Parametres!$B$51+Parametres!$B$66)),0)</f>
        <v>2550</v>
      </c>
      <c r="L48" s="33"/>
    </row>
    <row r="49" customFormat="false" ht="15" hidden="false" customHeight="true" outlineLevel="0" collapsed="false">
      <c r="A49" s="20" t="n">
        <v>37</v>
      </c>
      <c r="B49" s="21" t="n">
        <f aca="false">ROUND($B$5*(Parametres!$B$5+$B$6*MIN(2,(1+$B$11)^(A49-1))/Parametres!$B$6+$B$7*Parametres!$B$7),0)</f>
        <v>773</v>
      </c>
      <c r="C49" s="57" t="n">
        <f aca="false">1+$B$8*(Parametres!$B$28+Parametres!$B$29+Parametres!$B$30)</f>
        <v>1.085</v>
      </c>
      <c r="D49" s="57" t="n">
        <f aca="false">MIN(1+Parametres!$B$47*A49,1+Parametres!$B$48)</f>
        <v>1.2</v>
      </c>
      <c r="E49" s="22" t="n">
        <f aca="false">ROUND(B49*C49*D49*$B$9,0)</f>
        <v>986</v>
      </c>
      <c r="F49" s="22" t="n">
        <f aca="false">F48+E49</f>
        <v>32588</v>
      </c>
      <c r="G49" s="108" t="n">
        <f aca="false">MATCH(F49,Progression!$C$5:$C$54,1)</f>
        <v>19</v>
      </c>
      <c r="H49" s="21" t="n">
        <f aca="false">INDEX(Progression!$I$5:$I$54,G49)</f>
        <v>84</v>
      </c>
      <c r="I49" s="52" t="n">
        <f aca="false">IF(G49&lt;Donjon!$B$42,0,MATCH(G49,Donjon!$B$42:$B$53,1))</f>
        <v>8</v>
      </c>
      <c r="J49" s="21" t="n">
        <f aca="false">J48+ROUND(IF(I49=0,0,$B$10*Parametres!$B$63*55*(1+Parametres!$B$64*(I49-1))),0)</f>
        <v>143550</v>
      </c>
      <c r="K49" s="21" t="n">
        <f aca="false">K48+ROUND(IF(I49=0,0,$B$10*(Parametres!$B$65*Parametres!$B$51+Parametres!$B$66)),0)</f>
        <v>2625</v>
      </c>
      <c r="L49" s="34"/>
    </row>
    <row r="50" customFormat="false" ht="15" hidden="false" customHeight="true" outlineLevel="0" collapsed="false">
      <c r="A50" s="27" t="n">
        <v>38</v>
      </c>
      <c r="B50" s="28" t="n">
        <f aca="false">ROUND($B$5*(Parametres!$B$5+$B$6*MIN(2,(1+$B$11)^(A50-1))/Parametres!$B$6+$B$7*Parametres!$B$7),0)</f>
        <v>777</v>
      </c>
      <c r="C50" s="109" t="n">
        <f aca="false">1+$B$8*(Parametres!$B$28+Parametres!$B$29+Parametres!$B$30)</f>
        <v>1.085</v>
      </c>
      <c r="D50" s="109" t="n">
        <f aca="false">MIN(1+Parametres!$B$47*A50,1+Parametres!$B$48)</f>
        <v>1.2</v>
      </c>
      <c r="E50" s="29" t="n">
        <f aca="false">ROUND(B50*C50*D50*$B$9,0)</f>
        <v>991</v>
      </c>
      <c r="F50" s="29" t="n">
        <f aca="false">F49+E50</f>
        <v>33579</v>
      </c>
      <c r="G50" s="110" t="n">
        <f aca="false">MATCH(F50,Progression!$C$5:$C$54,1)</f>
        <v>20</v>
      </c>
      <c r="H50" s="28" t="n">
        <f aca="false">INDEX(Progression!$I$5:$I$54,G50)</f>
        <v>91</v>
      </c>
      <c r="I50" s="111" t="n">
        <f aca="false">IF(G50&lt;Donjon!$B$42,0,MATCH(G50,Donjon!$B$42:$B$53,1))</f>
        <v>8</v>
      </c>
      <c r="J50" s="28" t="n">
        <f aca="false">J49+ROUND(IF(I50=0,0,$B$10*Parametres!$B$63*55*(1+Parametres!$B$64*(I50-1))),0)</f>
        <v>148225</v>
      </c>
      <c r="K50" s="28" t="n">
        <f aca="false">K49+ROUND(IF(I50=0,0,$B$10*(Parametres!$B$65*Parametres!$B$51+Parametres!$B$66)),0)</f>
        <v>2700</v>
      </c>
      <c r="L50" s="33"/>
    </row>
    <row r="51" customFormat="false" ht="15" hidden="false" customHeight="true" outlineLevel="0" collapsed="false">
      <c r="A51" s="20" t="n">
        <v>39</v>
      </c>
      <c r="B51" s="21" t="n">
        <f aca="false">ROUND($B$5*(Parametres!$B$5+$B$6*MIN(2,(1+$B$11)^(A51-1))/Parametres!$B$6+$B$7*Parametres!$B$7),0)</f>
        <v>781</v>
      </c>
      <c r="C51" s="57" t="n">
        <f aca="false">1+$B$8*(Parametres!$B$28+Parametres!$B$29+Parametres!$B$30)</f>
        <v>1.085</v>
      </c>
      <c r="D51" s="57" t="n">
        <f aca="false">MIN(1+Parametres!$B$47*A51,1+Parametres!$B$48)</f>
        <v>1.2</v>
      </c>
      <c r="E51" s="22" t="n">
        <f aca="false">ROUND(B51*C51*D51*$B$9,0)</f>
        <v>997</v>
      </c>
      <c r="F51" s="22" t="n">
        <f aca="false">F50+E51</f>
        <v>34576</v>
      </c>
      <c r="G51" s="108" t="n">
        <f aca="false">MATCH(F51,Progression!$C$5:$C$54,1)</f>
        <v>20</v>
      </c>
      <c r="H51" s="21" t="n">
        <f aca="false">INDEX(Progression!$I$5:$I$54,G51)</f>
        <v>91</v>
      </c>
      <c r="I51" s="52" t="n">
        <f aca="false">IF(G51&lt;Donjon!$B$42,0,MATCH(G51,Donjon!$B$42:$B$53,1))</f>
        <v>8</v>
      </c>
      <c r="J51" s="21" t="n">
        <f aca="false">J50+ROUND(IF(I51=0,0,$B$10*Parametres!$B$63*55*(1+Parametres!$B$64*(I51-1))),0)</f>
        <v>152900</v>
      </c>
      <c r="K51" s="21" t="n">
        <f aca="false">K50+ROUND(IF(I51=0,0,$B$10*(Parametres!$B$65*Parametres!$B$51+Parametres!$B$66)),0)</f>
        <v>2775</v>
      </c>
      <c r="L51" s="26" t="s">
        <v>688</v>
      </c>
    </row>
    <row r="52" customFormat="false" ht="15" hidden="false" customHeight="true" outlineLevel="0" collapsed="false">
      <c r="A52" s="27" t="n">
        <v>40</v>
      </c>
      <c r="B52" s="28" t="n">
        <f aca="false">ROUND($B$5*(Parametres!$B$5+$B$6*MIN(2,(1+$B$11)^(A52-1))/Parametres!$B$6+$B$7*Parametres!$B$7),0)</f>
        <v>786</v>
      </c>
      <c r="C52" s="109" t="n">
        <f aca="false">1+$B$8*(Parametres!$B$28+Parametres!$B$29+Parametres!$B$30)</f>
        <v>1.085</v>
      </c>
      <c r="D52" s="109" t="n">
        <f aca="false">MIN(1+Parametres!$B$47*A52,1+Parametres!$B$48)</f>
        <v>1.2</v>
      </c>
      <c r="E52" s="29" t="n">
        <f aca="false">ROUND(B52*C52*D52*$B$9,0)</f>
        <v>1003</v>
      </c>
      <c r="F52" s="29" t="n">
        <f aca="false">F51+E52</f>
        <v>35579</v>
      </c>
      <c r="G52" s="110" t="n">
        <f aca="false">MATCH(F52,Progression!$C$5:$C$54,1)</f>
        <v>20</v>
      </c>
      <c r="H52" s="28" t="n">
        <f aca="false">INDEX(Progression!$I$5:$I$54,G52)</f>
        <v>91</v>
      </c>
      <c r="I52" s="111" t="n">
        <f aca="false">IF(G52&lt;Donjon!$B$42,0,MATCH(G52,Donjon!$B$42:$B$53,1))</f>
        <v>8</v>
      </c>
      <c r="J52" s="28" t="n">
        <f aca="false">J51+ROUND(IF(I52=0,0,$B$10*Parametres!$B$63*55*(1+Parametres!$B$64*(I52-1))),0)</f>
        <v>157575</v>
      </c>
      <c r="K52" s="28" t="n">
        <f aca="false">K51+ROUND(IF(I52=0,0,$B$10*(Parametres!$B$65*Parametres!$B$51+Parametres!$B$66)),0)</f>
        <v>2850</v>
      </c>
      <c r="L52" s="33"/>
    </row>
    <row r="53" customFormat="false" ht="15" hidden="false" customHeight="true" outlineLevel="0" collapsed="false">
      <c r="A53" s="20" t="n">
        <v>41</v>
      </c>
      <c r="B53" s="21" t="n">
        <f aca="false">ROUND($B$5*(Parametres!$B$5+$B$6*MIN(2,(1+$B$11)^(A53-1))/Parametres!$B$6+$B$7*Parametres!$B$7),0)</f>
        <v>790</v>
      </c>
      <c r="C53" s="57" t="n">
        <f aca="false">1+$B$8*(Parametres!$B$28+Parametres!$B$29+Parametres!$B$30)</f>
        <v>1.085</v>
      </c>
      <c r="D53" s="57" t="n">
        <f aca="false">MIN(1+Parametres!$B$47*A53,1+Parametres!$B$48)</f>
        <v>1.2</v>
      </c>
      <c r="E53" s="22" t="n">
        <f aca="false">ROUND(B53*C53*D53*$B$9,0)</f>
        <v>1008</v>
      </c>
      <c r="F53" s="22" t="n">
        <f aca="false">F52+E53</f>
        <v>36587</v>
      </c>
      <c r="G53" s="108" t="n">
        <f aca="false">MATCH(F53,Progression!$C$5:$C$54,1)</f>
        <v>20</v>
      </c>
      <c r="H53" s="21" t="n">
        <f aca="false">INDEX(Progression!$I$5:$I$54,G53)</f>
        <v>91</v>
      </c>
      <c r="I53" s="52" t="n">
        <f aca="false">IF(G53&lt;Donjon!$B$42,0,MATCH(G53,Donjon!$B$42:$B$53,1))</f>
        <v>8</v>
      </c>
      <c r="J53" s="21" t="n">
        <f aca="false">J52+ROUND(IF(I53=0,0,$B$10*Parametres!$B$63*55*(1+Parametres!$B$64*(I53-1))),0)</f>
        <v>162250</v>
      </c>
      <c r="K53" s="21" t="n">
        <f aca="false">K52+ROUND(IF(I53=0,0,$B$10*(Parametres!$B$65*Parametres!$B$51+Parametres!$B$66)),0)</f>
        <v>2925</v>
      </c>
      <c r="L53" s="34"/>
    </row>
    <row r="54" customFormat="false" ht="15" hidden="false" customHeight="true" outlineLevel="0" collapsed="false">
      <c r="A54" s="27" t="n">
        <v>42</v>
      </c>
      <c r="B54" s="28" t="n">
        <f aca="false">ROUND($B$5*(Parametres!$B$5+$B$6*MIN(2,(1+$B$11)^(A54-1))/Parametres!$B$6+$B$7*Parametres!$B$7),0)</f>
        <v>795</v>
      </c>
      <c r="C54" s="109" t="n">
        <f aca="false">1+$B$8*(Parametres!$B$28+Parametres!$B$29+Parametres!$B$30)</f>
        <v>1.085</v>
      </c>
      <c r="D54" s="109" t="n">
        <f aca="false">MIN(1+Parametres!$B$47*A54,1+Parametres!$B$48)</f>
        <v>1.2</v>
      </c>
      <c r="E54" s="29" t="n">
        <f aca="false">ROUND(B54*C54*D54*$B$9,0)</f>
        <v>1014</v>
      </c>
      <c r="F54" s="29" t="n">
        <f aca="false">F53+E54</f>
        <v>37601</v>
      </c>
      <c r="G54" s="110" t="n">
        <f aca="false">MATCH(F54,Progression!$C$5:$C$54,1)</f>
        <v>20</v>
      </c>
      <c r="H54" s="28" t="n">
        <f aca="false">INDEX(Progression!$I$5:$I$54,G54)</f>
        <v>91</v>
      </c>
      <c r="I54" s="111" t="n">
        <f aca="false">IF(G54&lt;Donjon!$B$42,0,MATCH(G54,Donjon!$B$42:$B$53,1))</f>
        <v>8</v>
      </c>
      <c r="J54" s="28" t="n">
        <f aca="false">J53+ROUND(IF(I54=0,0,$B$10*Parametres!$B$63*55*(1+Parametres!$B$64*(I54-1))),0)</f>
        <v>166925</v>
      </c>
      <c r="K54" s="28" t="n">
        <f aca="false">K53+ROUND(IF(I54=0,0,$B$10*(Parametres!$B$65*Parametres!$B$51+Parametres!$B$66)),0)</f>
        <v>3000</v>
      </c>
      <c r="L54" s="33"/>
    </row>
    <row r="55" customFormat="false" ht="15" hidden="false" customHeight="true" outlineLevel="0" collapsed="false">
      <c r="A55" s="20" t="n">
        <v>43</v>
      </c>
      <c r="B55" s="21" t="n">
        <f aca="false">ROUND($B$5*(Parametres!$B$5+$B$6*MIN(2,(1+$B$11)^(A55-1))/Parametres!$B$6+$B$7*Parametres!$B$7),0)</f>
        <v>799</v>
      </c>
      <c r="C55" s="57" t="n">
        <f aca="false">1+$B$8*(Parametres!$B$28+Parametres!$B$29+Parametres!$B$30)</f>
        <v>1.085</v>
      </c>
      <c r="D55" s="57" t="n">
        <f aca="false">MIN(1+Parametres!$B$47*A55,1+Parametres!$B$48)</f>
        <v>1.2</v>
      </c>
      <c r="E55" s="22" t="n">
        <f aca="false">ROUND(B55*C55*D55*$B$9,0)</f>
        <v>1019</v>
      </c>
      <c r="F55" s="22" t="n">
        <f aca="false">F54+E55</f>
        <v>38620</v>
      </c>
      <c r="G55" s="108" t="n">
        <f aca="false">MATCH(F55,Progression!$C$5:$C$54,1)</f>
        <v>21</v>
      </c>
      <c r="H55" s="21" t="n">
        <f aca="false">INDEX(Progression!$I$5:$I$54,G55)</f>
        <v>98</v>
      </c>
      <c r="I55" s="52" t="n">
        <f aca="false">IF(G55&lt;Donjon!$B$42,0,MATCH(G55,Donjon!$B$42:$B$53,1))</f>
        <v>9</v>
      </c>
      <c r="J55" s="21" t="n">
        <f aca="false">J54+ROUND(IF(I55=0,0,$B$10*Parametres!$B$63*55*(1+Parametres!$B$64*(I55-1))),0)</f>
        <v>171875</v>
      </c>
      <c r="K55" s="21" t="n">
        <f aca="false">K54+ROUND(IF(I55=0,0,$B$10*(Parametres!$B$65*Parametres!$B$51+Parametres!$B$66)),0)</f>
        <v>3075</v>
      </c>
      <c r="L55" s="34"/>
    </row>
    <row r="56" customFormat="false" ht="15" hidden="false" customHeight="true" outlineLevel="0" collapsed="false">
      <c r="A56" s="27" t="n">
        <v>44</v>
      </c>
      <c r="B56" s="28" t="n">
        <f aca="false">ROUND($B$5*(Parametres!$B$5+$B$6*MIN(2,(1+$B$11)^(A56-1))/Parametres!$B$6+$B$7*Parametres!$B$7),0)</f>
        <v>803</v>
      </c>
      <c r="C56" s="109" t="n">
        <f aca="false">1+$B$8*(Parametres!$B$28+Parametres!$B$29+Parametres!$B$30)</f>
        <v>1.085</v>
      </c>
      <c r="D56" s="109" t="n">
        <f aca="false">MIN(1+Parametres!$B$47*A56,1+Parametres!$B$48)</f>
        <v>1.2</v>
      </c>
      <c r="E56" s="29" t="n">
        <f aca="false">ROUND(B56*C56*D56*$B$9,0)</f>
        <v>1025</v>
      </c>
      <c r="F56" s="29" t="n">
        <f aca="false">F55+E56</f>
        <v>39645</v>
      </c>
      <c r="G56" s="110" t="n">
        <f aca="false">MATCH(F56,Progression!$C$5:$C$54,1)</f>
        <v>21</v>
      </c>
      <c r="H56" s="28" t="n">
        <f aca="false">INDEX(Progression!$I$5:$I$54,G56)</f>
        <v>98</v>
      </c>
      <c r="I56" s="111" t="n">
        <f aca="false">IF(G56&lt;Donjon!$B$42,0,MATCH(G56,Donjon!$B$42:$B$53,1))</f>
        <v>9</v>
      </c>
      <c r="J56" s="28" t="n">
        <f aca="false">J55+ROUND(IF(I56=0,0,$B$10*Parametres!$B$63*55*(1+Parametres!$B$64*(I56-1))),0)</f>
        <v>176825</v>
      </c>
      <c r="K56" s="28" t="n">
        <f aca="false">K55+ROUND(IF(I56=0,0,$B$10*(Parametres!$B$65*Parametres!$B$51+Parametres!$B$66)),0)</f>
        <v>3150</v>
      </c>
      <c r="L56" s="33"/>
    </row>
    <row r="57" customFormat="false" ht="15" hidden="false" customHeight="true" outlineLevel="0" collapsed="false">
      <c r="A57" s="20" t="n">
        <v>45</v>
      </c>
      <c r="B57" s="21" t="n">
        <f aca="false">ROUND($B$5*(Parametres!$B$5+$B$6*MIN(2,(1+$B$11)^(A57-1))/Parametres!$B$6+$B$7*Parametres!$B$7),0)</f>
        <v>808</v>
      </c>
      <c r="C57" s="57" t="n">
        <f aca="false">1+$B$8*(Parametres!$B$28+Parametres!$B$29+Parametres!$B$30)</f>
        <v>1.085</v>
      </c>
      <c r="D57" s="57" t="n">
        <f aca="false">MIN(1+Parametres!$B$47*A57,1+Parametres!$B$48)</f>
        <v>1.2</v>
      </c>
      <c r="E57" s="22" t="n">
        <f aca="false">ROUND(B57*C57*D57*$B$9,0)</f>
        <v>1031</v>
      </c>
      <c r="F57" s="22" t="n">
        <f aca="false">F56+E57</f>
        <v>40676</v>
      </c>
      <c r="G57" s="108" t="n">
        <f aca="false">MATCH(F57,Progression!$C$5:$C$54,1)</f>
        <v>21</v>
      </c>
      <c r="H57" s="21" t="n">
        <f aca="false">INDEX(Progression!$I$5:$I$54,G57)</f>
        <v>98</v>
      </c>
      <c r="I57" s="52" t="n">
        <f aca="false">IF(G57&lt;Donjon!$B$42,0,MATCH(G57,Donjon!$B$42:$B$53,1))</f>
        <v>9</v>
      </c>
      <c r="J57" s="21" t="n">
        <f aca="false">J56+ROUND(IF(I57=0,0,$B$10*Parametres!$B$63*55*(1+Parametres!$B$64*(I57-1))),0)</f>
        <v>181775</v>
      </c>
      <c r="K57" s="21" t="n">
        <f aca="false">K56+ROUND(IF(I57=0,0,$B$10*(Parametres!$B$65*Parametres!$B$51+Parametres!$B$66)),0)</f>
        <v>3225</v>
      </c>
      <c r="L57" s="34"/>
    </row>
    <row r="58" customFormat="false" ht="15" hidden="false" customHeight="true" outlineLevel="0" collapsed="false">
      <c r="A58" s="27" t="n">
        <v>46</v>
      </c>
      <c r="B58" s="28" t="n">
        <f aca="false">ROUND($B$5*(Parametres!$B$5+$B$6*MIN(2,(1+$B$11)^(A58-1))/Parametres!$B$6+$B$7*Parametres!$B$7),0)</f>
        <v>813</v>
      </c>
      <c r="C58" s="109" t="n">
        <f aca="false">1+$B$8*(Parametres!$B$28+Parametres!$B$29+Parametres!$B$30)</f>
        <v>1.085</v>
      </c>
      <c r="D58" s="109" t="n">
        <f aca="false">MIN(1+Parametres!$B$47*A58,1+Parametres!$B$48)</f>
        <v>1.2</v>
      </c>
      <c r="E58" s="29" t="n">
        <f aca="false">ROUND(B58*C58*D58*$B$9,0)</f>
        <v>1037</v>
      </c>
      <c r="F58" s="29" t="n">
        <f aca="false">F57+E58</f>
        <v>41713</v>
      </c>
      <c r="G58" s="110" t="n">
        <f aca="false">MATCH(F58,Progression!$C$5:$C$54,1)</f>
        <v>21</v>
      </c>
      <c r="H58" s="28" t="n">
        <f aca="false">INDEX(Progression!$I$5:$I$54,G58)</f>
        <v>98</v>
      </c>
      <c r="I58" s="111" t="n">
        <f aca="false">IF(G58&lt;Donjon!$B$42,0,MATCH(G58,Donjon!$B$42:$B$53,1))</f>
        <v>9</v>
      </c>
      <c r="J58" s="28" t="n">
        <f aca="false">J57+ROUND(IF(I58=0,0,$B$10*Parametres!$B$63*55*(1+Parametres!$B$64*(I58-1))),0)</f>
        <v>186725</v>
      </c>
      <c r="K58" s="28" t="n">
        <f aca="false">K57+ROUND(IF(I58=0,0,$B$10*(Parametres!$B$65*Parametres!$B$51+Parametres!$B$66)),0)</f>
        <v>3300</v>
      </c>
      <c r="L58" s="33"/>
    </row>
    <row r="59" customFormat="false" ht="15" hidden="false" customHeight="true" outlineLevel="0" collapsed="false">
      <c r="A59" s="20" t="n">
        <v>47</v>
      </c>
      <c r="B59" s="21" t="n">
        <f aca="false">ROUND($B$5*(Parametres!$B$5+$B$6*MIN(2,(1+$B$11)^(A59-1))/Parametres!$B$6+$B$7*Parametres!$B$7),0)</f>
        <v>817</v>
      </c>
      <c r="C59" s="57" t="n">
        <f aca="false">1+$B$8*(Parametres!$B$28+Parametres!$B$29+Parametres!$B$30)</f>
        <v>1.085</v>
      </c>
      <c r="D59" s="57" t="n">
        <f aca="false">MIN(1+Parametres!$B$47*A59,1+Parametres!$B$48)</f>
        <v>1.2</v>
      </c>
      <c r="E59" s="22" t="n">
        <f aca="false">ROUND(B59*C59*D59*$B$9,0)</f>
        <v>1042</v>
      </c>
      <c r="F59" s="22" t="n">
        <f aca="false">F58+E59</f>
        <v>42755</v>
      </c>
      <c r="G59" s="108" t="n">
        <f aca="false">MATCH(F59,Progression!$C$5:$C$54,1)</f>
        <v>21</v>
      </c>
      <c r="H59" s="21" t="n">
        <f aca="false">INDEX(Progression!$I$5:$I$54,G59)</f>
        <v>98</v>
      </c>
      <c r="I59" s="52" t="n">
        <f aca="false">IF(G59&lt;Donjon!$B$42,0,MATCH(G59,Donjon!$B$42:$B$53,1))</f>
        <v>9</v>
      </c>
      <c r="J59" s="21" t="n">
        <f aca="false">J58+ROUND(IF(I59=0,0,$B$10*Parametres!$B$63*55*(1+Parametres!$B$64*(I59-1))),0)</f>
        <v>191675</v>
      </c>
      <c r="K59" s="21" t="n">
        <f aca="false">K58+ROUND(IF(I59=0,0,$B$10*(Parametres!$B$65*Parametres!$B$51+Parametres!$B$66)),0)</f>
        <v>3375</v>
      </c>
      <c r="L59" s="34"/>
    </row>
    <row r="60" customFormat="false" ht="15" hidden="false" customHeight="true" outlineLevel="0" collapsed="false">
      <c r="A60" s="27" t="n">
        <v>48</v>
      </c>
      <c r="B60" s="28" t="n">
        <f aca="false">ROUND($B$5*(Parametres!$B$5+$B$6*MIN(2,(1+$B$11)^(A60-1))/Parametres!$B$6+$B$7*Parametres!$B$7),0)</f>
        <v>822</v>
      </c>
      <c r="C60" s="109" t="n">
        <f aca="false">1+$B$8*(Parametres!$B$28+Parametres!$B$29+Parametres!$B$30)</f>
        <v>1.085</v>
      </c>
      <c r="D60" s="109" t="n">
        <f aca="false">MIN(1+Parametres!$B$47*A60,1+Parametres!$B$48)</f>
        <v>1.2</v>
      </c>
      <c r="E60" s="29" t="n">
        <f aca="false">ROUND(B60*C60*D60*$B$9,0)</f>
        <v>1049</v>
      </c>
      <c r="F60" s="29" t="n">
        <f aca="false">F59+E60</f>
        <v>43804</v>
      </c>
      <c r="G60" s="110" t="n">
        <f aca="false">MATCH(F60,Progression!$C$5:$C$54,1)</f>
        <v>22</v>
      </c>
      <c r="H60" s="28" t="n">
        <f aca="false">INDEX(Progression!$I$5:$I$54,G60)</f>
        <v>105</v>
      </c>
      <c r="I60" s="111" t="n">
        <f aca="false">IF(G60&lt;Donjon!$B$42,0,MATCH(G60,Donjon!$B$42:$B$53,1))</f>
        <v>9</v>
      </c>
      <c r="J60" s="28" t="n">
        <f aca="false">J59+ROUND(IF(I60=0,0,$B$10*Parametres!$B$63*55*(1+Parametres!$B$64*(I60-1))),0)</f>
        <v>196625</v>
      </c>
      <c r="K60" s="28" t="n">
        <f aca="false">K59+ROUND(IF(I60=0,0,$B$10*(Parametres!$B$65*Parametres!$B$51+Parametres!$B$66)),0)</f>
        <v>3450</v>
      </c>
      <c r="L60" s="33"/>
    </row>
    <row r="61" customFormat="false" ht="15" hidden="false" customHeight="true" outlineLevel="0" collapsed="false">
      <c r="A61" s="20" t="n">
        <v>49</v>
      </c>
      <c r="B61" s="21" t="n">
        <f aca="false">ROUND($B$5*(Parametres!$B$5+$B$6*MIN(2,(1+$B$11)^(A61-1))/Parametres!$B$6+$B$7*Parametres!$B$7),0)</f>
        <v>826</v>
      </c>
      <c r="C61" s="57" t="n">
        <f aca="false">1+$B$8*(Parametres!$B$28+Parametres!$B$29+Parametres!$B$30)</f>
        <v>1.085</v>
      </c>
      <c r="D61" s="57" t="n">
        <f aca="false">MIN(1+Parametres!$B$47*A61,1+Parametres!$B$48)</f>
        <v>1.2</v>
      </c>
      <c r="E61" s="22" t="n">
        <f aca="false">ROUND(B61*C61*D61*$B$9,0)</f>
        <v>1054</v>
      </c>
      <c r="F61" s="22" t="n">
        <f aca="false">F60+E61</f>
        <v>44858</v>
      </c>
      <c r="G61" s="108" t="n">
        <f aca="false">MATCH(F61,Progression!$C$5:$C$54,1)</f>
        <v>22</v>
      </c>
      <c r="H61" s="21" t="n">
        <f aca="false">INDEX(Progression!$I$5:$I$54,G61)</f>
        <v>105</v>
      </c>
      <c r="I61" s="52" t="n">
        <f aca="false">IF(G61&lt;Donjon!$B$42,0,MATCH(G61,Donjon!$B$42:$B$53,1))</f>
        <v>9</v>
      </c>
      <c r="J61" s="21" t="n">
        <f aca="false">J60+ROUND(IF(I61=0,0,$B$10*Parametres!$B$63*55*(1+Parametres!$B$64*(I61-1))),0)</f>
        <v>201575</v>
      </c>
      <c r="K61" s="21" t="n">
        <f aca="false">K60+ROUND(IF(I61=0,0,$B$10*(Parametres!$B$65*Parametres!$B$51+Parametres!$B$66)),0)</f>
        <v>3525</v>
      </c>
      <c r="L61" s="34"/>
    </row>
    <row r="62" customFormat="false" ht="15" hidden="false" customHeight="true" outlineLevel="0" collapsed="false">
      <c r="A62" s="27" t="n">
        <v>50</v>
      </c>
      <c r="B62" s="28" t="n">
        <f aca="false">ROUND($B$5*(Parametres!$B$5+$B$6*MIN(2,(1+$B$11)^(A62-1))/Parametres!$B$6+$B$7*Parametres!$B$7),0)</f>
        <v>831</v>
      </c>
      <c r="C62" s="109" t="n">
        <f aca="false">1+$B$8*(Parametres!$B$28+Parametres!$B$29+Parametres!$B$30)</f>
        <v>1.085</v>
      </c>
      <c r="D62" s="109" t="n">
        <f aca="false">MIN(1+Parametres!$B$47*A62,1+Parametres!$B$48)</f>
        <v>1.2</v>
      </c>
      <c r="E62" s="29" t="n">
        <f aca="false">ROUND(B62*C62*D62*$B$9,0)</f>
        <v>1060</v>
      </c>
      <c r="F62" s="29" t="n">
        <f aca="false">F61+E62</f>
        <v>45918</v>
      </c>
      <c r="G62" s="110" t="n">
        <f aca="false">MATCH(F62,Progression!$C$5:$C$54,1)</f>
        <v>22</v>
      </c>
      <c r="H62" s="28" t="n">
        <f aca="false">INDEX(Progression!$I$5:$I$54,G62)</f>
        <v>105</v>
      </c>
      <c r="I62" s="111" t="n">
        <f aca="false">IF(G62&lt;Donjon!$B$42,0,MATCH(G62,Donjon!$B$42:$B$53,1))</f>
        <v>9</v>
      </c>
      <c r="J62" s="28" t="n">
        <f aca="false">J61+ROUND(IF(I62=0,0,$B$10*Parametres!$B$63*55*(1+Parametres!$B$64*(I62-1))),0)</f>
        <v>206525</v>
      </c>
      <c r="K62" s="28" t="n">
        <f aca="false">K61+ROUND(IF(I62=0,0,$B$10*(Parametres!$B$65*Parametres!$B$51+Parametres!$B$66)),0)</f>
        <v>3600</v>
      </c>
      <c r="L62" s="33"/>
    </row>
    <row r="63" customFormat="false" ht="15" hidden="false" customHeight="true" outlineLevel="0" collapsed="false">
      <c r="A63" s="20" t="n">
        <v>51</v>
      </c>
      <c r="B63" s="21" t="n">
        <f aca="false">ROUND($B$5*(Parametres!$B$5+$B$6*MIN(2,(1+$B$11)^(A63-1))/Parametres!$B$6+$B$7*Parametres!$B$7),0)</f>
        <v>836</v>
      </c>
      <c r="C63" s="57" t="n">
        <f aca="false">1+$B$8*(Parametres!$B$28+Parametres!$B$29+Parametres!$B$30)</f>
        <v>1.085</v>
      </c>
      <c r="D63" s="57" t="n">
        <f aca="false">MIN(1+Parametres!$B$47*A63,1+Parametres!$B$48)</f>
        <v>1.2</v>
      </c>
      <c r="E63" s="22" t="n">
        <f aca="false">ROUND(B63*C63*D63*$B$9,0)</f>
        <v>1067</v>
      </c>
      <c r="F63" s="22" t="n">
        <f aca="false">F62+E63</f>
        <v>46985</v>
      </c>
      <c r="G63" s="108" t="n">
        <f aca="false">MATCH(F63,Progression!$C$5:$C$54,1)</f>
        <v>22</v>
      </c>
      <c r="H63" s="21" t="n">
        <f aca="false">INDEX(Progression!$I$5:$I$54,G63)</f>
        <v>105</v>
      </c>
      <c r="I63" s="52" t="n">
        <f aca="false">IF(G63&lt;Donjon!$B$42,0,MATCH(G63,Donjon!$B$42:$B$53,1))</f>
        <v>9</v>
      </c>
      <c r="J63" s="21" t="n">
        <f aca="false">J62+ROUND(IF(I63=0,0,$B$10*Parametres!$B$63*55*(1+Parametres!$B$64*(I63-1))),0)</f>
        <v>211475</v>
      </c>
      <c r="K63" s="21" t="n">
        <f aca="false">K62+ROUND(IF(I63=0,0,$B$10*(Parametres!$B$65*Parametres!$B$51+Parametres!$B$66)),0)</f>
        <v>3675</v>
      </c>
      <c r="L63" s="34"/>
    </row>
    <row r="64" customFormat="false" ht="15" hidden="false" customHeight="true" outlineLevel="0" collapsed="false">
      <c r="A64" s="27" t="n">
        <v>52</v>
      </c>
      <c r="B64" s="28" t="n">
        <f aca="false">ROUND($B$5*(Parametres!$B$5+$B$6*MIN(2,(1+$B$11)^(A64-1))/Parametres!$B$6+$B$7*Parametres!$B$7),0)</f>
        <v>841</v>
      </c>
      <c r="C64" s="109" t="n">
        <f aca="false">1+$B$8*(Parametres!$B$28+Parametres!$B$29+Parametres!$B$30)</f>
        <v>1.085</v>
      </c>
      <c r="D64" s="109" t="n">
        <f aca="false">MIN(1+Parametres!$B$47*A64,1+Parametres!$B$48)</f>
        <v>1.2</v>
      </c>
      <c r="E64" s="29" t="n">
        <f aca="false">ROUND(B64*C64*D64*$B$9,0)</f>
        <v>1073</v>
      </c>
      <c r="F64" s="29" t="n">
        <f aca="false">F63+E64</f>
        <v>48058</v>
      </c>
      <c r="G64" s="110" t="n">
        <f aca="false">MATCH(F64,Progression!$C$5:$C$54,1)</f>
        <v>23</v>
      </c>
      <c r="H64" s="28" t="n">
        <f aca="false">INDEX(Progression!$I$5:$I$54,G64)</f>
        <v>112</v>
      </c>
      <c r="I64" s="111" t="n">
        <f aca="false">IF(G64&lt;Donjon!$B$42,0,MATCH(G64,Donjon!$B$42:$B$53,1))</f>
        <v>9</v>
      </c>
      <c r="J64" s="28" t="n">
        <f aca="false">J63+ROUND(IF(I64=0,0,$B$10*Parametres!$B$63*55*(1+Parametres!$B$64*(I64-1))),0)</f>
        <v>216425</v>
      </c>
      <c r="K64" s="28" t="n">
        <f aca="false">K63+ROUND(IF(I64=0,0,$B$10*(Parametres!$B$65*Parametres!$B$51+Parametres!$B$66)),0)</f>
        <v>3750</v>
      </c>
      <c r="L64" s="35" t="s">
        <v>689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2026-09-09T23:19:13Z</dcterms:created>
  <dc:creator>openpyxl</dc:creator>
  <dc:description/>
  <dc:language>en-US</dc:language>
  <cp:lastModifiedBy/>
  <dcterms:modified xsi:type="dcterms:W3CDTF">2026-09-10T15:30:19Z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